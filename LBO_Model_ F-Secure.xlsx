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purl.oclc.org/ooxml/officeDocument/relationships/extendedProperties" Target="docProps/app.xml"/><Relationship Id="rId2" Type="http://schemas.openxmlformats.org/package/2006/relationships/metadata/core-properties" Target="docProps/core.xml"/><Relationship Id="rId1" Type="http://purl.oclc.org/ooxml/officeDocument/relationships/officeDocument" Target="xl/workbook.xml"/></Relationships>
</file>

<file path=xl/workbook.xml><?xml version="1.0" encoding="utf-8"?>
<workbook xmlns="http://purl.oclc.org/ooxml/spreadsheetml/main" xmlns:r="http://purl.oclc.org/ooxml/officeDocument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 conformance="strict">
  <fileVersion appName="xl" lastEdited="7" lowestEdited="7" rupBuild="10830"/>
  <workbookPr dateCompatibility="0"/>
  <mc:AlternateContent xmlns:mc="http://schemas.openxmlformats.org/markup-compatibility/2006">
    <mc:Choice Requires="x15">
      <x15ac:absPath xmlns:x15ac="http://schemas.microsoft.com/office/spreadsheetml/2010/11/ac" url="/Users/hlibpapanov/Desktop/Project_Ukr2030/P2 (LBO)/Upload/"/>
    </mc:Choice>
  </mc:AlternateContent>
  <xr:revisionPtr revIDLastSave="0" documentId="8_{A188248B-BD64-844D-A2F0-A11F42D63624}" xr6:coauthVersionLast="47" xr6:coauthVersionMax="47" xr10:uidLastSave="{00000000-0000-0000-0000-000000000000}"/>
  <bookViews>
    <workbookView xWindow="0" yWindow="680" windowWidth="25600" windowHeight="14760" activeTab="3" xr2:uid="{00000000-000D-0000-FFFF-FFFF00000000}"/>
  </bookViews>
  <sheets>
    <sheet name="Assumptions" sheetId="1" r:id="rId1"/>
    <sheet name="Income_Statement" sheetId="2" r:id="rId2"/>
    <sheet name="Debt_Schedule" sheetId="3" r:id="rId3"/>
    <sheet name="Exit_Analysis" sheetId="4" r:id="rId4"/>
  </sheets>
  <calcPr calcId="191029"/>
  <extLst>
    <ext xmlns:x14="http://schemas.microsoft.com/office/spreadsheetml/2009/9/main" uri="{79F54976-1DA5-4618-B147-4CDE4B953A38}">
      <x14:workbookPr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purl.oclc.org/ooxml/spreadsheetml/main">
  <c r="B33" i="1" l="1"/>
  <c r="B41" i="1"/>
  <c r="B6" i="4" s="1"/>
  <c r="B32" i="1"/>
  <c r="B18" i="1"/>
  <c r="B4" i="2"/>
  <c r="C4" i="2" s="1"/>
  <c r="C18" i="2" s="1"/>
  <c r="B14" i="1" l="1"/>
  <c r="B20" i="1" s="1"/>
  <c r="B21" i="1" s="1"/>
  <c r="B19" i="2"/>
  <c r="B18" i="2"/>
  <c r="C19" i="2"/>
  <c r="B7" i="2"/>
  <c r="B5" i="2"/>
  <c r="B19" i="1"/>
  <c r="B16" i="4" s="1"/>
  <c r="B22" i="1"/>
  <c r="B6" i="3" s="1"/>
  <c r="B23" i="4"/>
  <c r="D4" i="2"/>
  <c r="C5" i="2"/>
  <c r="C21" i="2" s="1"/>
  <c r="C7" i="2"/>
  <c r="B23" i="1" l="1"/>
  <c r="B11" i="3" s="1"/>
  <c r="D18" i="2"/>
  <c r="D19" i="2"/>
  <c r="B12" i="3"/>
  <c r="C11" i="3" s="1"/>
  <c r="B11" i="2"/>
  <c r="B7" i="3"/>
  <c r="C6" i="3" s="1"/>
  <c r="C10" i="2" s="1"/>
  <c r="B10" i="2"/>
  <c r="B12" i="2" s="1"/>
  <c r="B17" i="2" s="1"/>
  <c r="B6" i="2"/>
  <c r="B21" i="2"/>
  <c r="B8" i="2"/>
  <c r="C6" i="2"/>
  <c r="C8" i="2"/>
  <c r="E4" i="2"/>
  <c r="D7" i="2"/>
  <c r="D5" i="2"/>
  <c r="D21" i="2" s="1"/>
  <c r="B13" i="2" l="1"/>
  <c r="B14" i="2" s="1"/>
  <c r="B20" i="2" s="1"/>
  <c r="B22" i="2" s="1"/>
  <c r="B16" i="3"/>
  <c r="B18" i="3" s="1"/>
  <c r="E18" i="2"/>
  <c r="E19" i="2"/>
  <c r="C12" i="3"/>
  <c r="D11" i="3" s="1"/>
  <c r="C11" i="2"/>
  <c r="C12" i="2" s="1"/>
  <c r="F4" i="2"/>
  <c r="E7" i="2"/>
  <c r="E5" i="2"/>
  <c r="E21" i="2" s="1"/>
  <c r="D6" i="2"/>
  <c r="D8" i="2"/>
  <c r="B15" i="2" l="1"/>
  <c r="C17" i="2"/>
  <c r="C13" i="2"/>
  <c r="C14" i="2" s="1"/>
  <c r="C20" i="2" s="1"/>
  <c r="C22" i="2" s="1"/>
  <c r="C7" i="3" s="1"/>
  <c r="F19" i="2"/>
  <c r="F18" i="2"/>
  <c r="D12" i="3"/>
  <c r="E11" i="3" s="1"/>
  <c r="D11" i="2"/>
  <c r="E8" i="2"/>
  <c r="E6" i="2"/>
  <c r="F7" i="2"/>
  <c r="F5" i="2"/>
  <c r="F21" i="2" s="1"/>
  <c r="G4" i="2"/>
  <c r="C15" i="2" l="1"/>
  <c r="E12" i="3"/>
  <c r="F11" i="3" s="1"/>
  <c r="E11" i="2"/>
  <c r="B4" i="4"/>
  <c r="G18" i="2"/>
  <c r="G19" i="2"/>
  <c r="C16" i="3"/>
  <c r="C18" i="3" s="1"/>
  <c r="D6" i="3"/>
  <c r="D10" i="2" s="1"/>
  <c r="D12" i="2" s="1"/>
  <c r="G7" i="2"/>
  <c r="G5" i="2"/>
  <c r="G21" i="2" s="1"/>
  <c r="F6" i="2"/>
  <c r="F8" i="2"/>
  <c r="F12" i="3" l="1"/>
  <c r="G11" i="3" s="1"/>
  <c r="F11" i="2"/>
  <c r="D17" i="2"/>
  <c r="D13" i="2"/>
  <c r="D14" i="2" s="1"/>
  <c r="G8" i="2"/>
  <c r="B5" i="4"/>
  <c r="B7" i="4" s="1"/>
  <c r="G6" i="2"/>
  <c r="G12" i="3" l="1"/>
  <c r="B11" i="4" s="1"/>
  <c r="G11" i="2"/>
  <c r="D15" i="2"/>
  <c r="D20" i="2"/>
  <c r="D22" i="2" s="1"/>
  <c r="D7" i="3" s="1"/>
  <c r="E6" i="3" l="1"/>
  <c r="E10" i="2" s="1"/>
  <c r="E12" i="2" s="1"/>
  <c r="D16" i="3"/>
  <c r="D18" i="3" s="1"/>
  <c r="E17" i="2" l="1"/>
  <c r="E13" i="2"/>
  <c r="E14" i="2" s="1"/>
  <c r="E15" i="2" l="1"/>
  <c r="E20" i="2"/>
  <c r="E22" i="2" s="1"/>
  <c r="E7" i="3" s="1"/>
  <c r="F6" i="3" l="1"/>
  <c r="F10" i="2" s="1"/>
  <c r="F12" i="2" s="1"/>
  <c r="E16" i="3"/>
  <c r="E18" i="3" s="1"/>
  <c r="F17" i="2" l="1"/>
  <c r="F13" i="2"/>
  <c r="F14" i="2" s="1"/>
  <c r="F15" i="2" l="1"/>
  <c r="F20" i="2"/>
  <c r="F22" i="2" s="1"/>
  <c r="F7" i="3" s="1"/>
  <c r="G6" i="3" l="1"/>
  <c r="G10" i="2" s="1"/>
  <c r="G12" i="2" s="1"/>
  <c r="F16" i="3"/>
  <c r="F18" i="3" s="1"/>
  <c r="G17" i="2" l="1"/>
  <c r="G13" i="2"/>
  <c r="G14" i="2" s="1"/>
  <c r="G15" i="2" l="1"/>
  <c r="G20" i="2"/>
  <c r="G22" i="2" s="1"/>
  <c r="G7" i="3" s="1"/>
  <c r="B10" i="4" l="1"/>
  <c r="B12" i="4" s="1"/>
  <c r="B14" i="4" s="1"/>
  <c r="G16" i="3"/>
  <c r="G18" i="3" s="1"/>
  <c r="B24" i="4" l="1"/>
  <c r="B19" i="4" l="1"/>
  <c r="B20" i="4"/>
</calcChain>
</file>

<file path=xl/sharedStrings.xml><?xml version="1.0" encoding="utf-8"?>
<sst xmlns="http://purl.oclc.org/ooxml/spreadsheetml/main" count="121" uniqueCount="90">
  <si>
    <t>LBO MODEL - ASSUMPTIONS</t>
  </si>
  <si>
    <t>Company Name:</t>
  </si>
  <si>
    <t>Ticker:</t>
  </si>
  <si>
    <t>YEAR 0 DATA (Current LTM)</t>
  </si>
  <si>
    <t>Current Revenue (LTM):</t>
  </si>
  <si>
    <t>$M</t>
  </si>
  <si>
    <t>Current EBITDA (LTM):</t>
  </si>
  <si>
    <t>Current EBITDA Margin:</t>
  </si>
  <si>
    <t>%</t>
  </si>
  <si>
    <t>Current Debt:</t>
  </si>
  <si>
    <t>ENTRY VALUATION</t>
  </si>
  <si>
    <t>Entry Multiple (EV/EBITDA):</t>
  </si>
  <si>
    <t>x</t>
  </si>
  <si>
    <t>Enterprise Value at Entry:</t>
  </si>
  <si>
    <t>CAPITAL STRUCTURE (40% Equity, 60% Debt)</t>
  </si>
  <si>
    <t>Sponsor Equity Investment:</t>
  </si>
  <si>
    <t>Total Debt to Raise:</t>
  </si>
  <si>
    <t>Entry Leverage (Debt/EBITDA):</t>
  </si>
  <si>
    <t>x EBITDA</t>
  </si>
  <si>
    <t>Senior Debt (71% of total):</t>
  </si>
  <si>
    <t>Sub Debt (29% of total):</t>
  </si>
  <si>
    <t>DEBT RATES</t>
  </si>
  <si>
    <t>Senior Debt Rate:</t>
  </si>
  <si>
    <t>Sub Debt Rate:</t>
  </si>
  <si>
    <t>5-YEAR PROJECTIONS</t>
  </si>
  <si>
    <t>Revenue Growth Rate (Yr 3-5):</t>
  </si>
  <si>
    <t>Tax Rate:</t>
  </si>
  <si>
    <t>EXIT ASSUMPTIONS (YEAR 5)</t>
  </si>
  <si>
    <t>Exit Multiple (EV/EBITDA):</t>
  </si>
  <si>
    <t>5-YEAR INCOME STATEMENT</t>
  </si>
  <si>
    <t>Line Item</t>
  </si>
  <si>
    <t>Year 0</t>
  </si>
  <si>
    <t>Year 1</t>
  </si>
  <si>
    <t>Year 2</t>
  </si>
  <si>
    <t>Year 3</t>
  </si>
  <si>
    <t>Year 4</t>
  </si>
  <si>
    <t>Year 5</t>
  </si>
  <si>
    <t>Revenue</t>
  </si>
  <si>
    <t>EBITDA</t>
  </si>
  <si>
    <t>EBITDA Margin %</t>
  </si>
  <si>
    <t>D&amp;A</t>
  </si>
  <si>
    <t>EBIT (EBITDA - D&amp;A)</t>
  </si>
  <si>
    <t>Interest Expense - Senior</t>
  </si>
  <si>
    <t>Interest Expense - Sub</t>
  </si>
  <si>
    <t>Total Interest</t>
  </si>
  <si>
    <t>EBT (EBIT - Interest)</t>
  </si>
  <si>
    <t>Net Income</t>
  </si>
  <si>
    <t>DEBT PAYDOWN SCHEDULE</t>
  </si>
  <si>
    <t>SENIOR DEBT</t>
  </si>
  <si>
    <t>Beginning Balance</t>
  </si>
  <si>
    <t>Ending Balance</t>
  </si>
  <si>
    <t>SUBORDINATED DEBT</t>
  </si>
  <si>
    <t>TOTAL DEBT</t>
  </si>
  <si>
    <t>Total Debt</t>
  </si>
  <si>
    <t>Leverage Ratio (Debt/EBITDA)</t>
  </si>
  <si>
    <t>EXIT ANALYSIS &amp; RETURNS (YEAR 5)</t>
  </si>
  <si>
    <t>YEAR 5 VALUATION</t>
  </si>
  <si>
    <t>Year 5 Revenue</t>
  </si>
  <si>
    <t>Year 5 EBITDA</t>
  </si>
  <si>
    <t>Exit Multiple (EV/EBITDA)</t>
  </si>
  <si>
    <t>Exit Enterprise Value</t>
  </si>
  <si>
    <t>DEBT AT EXIT</t>
  </si>
  <si>
    <t>Senior Debt at Exit</t>
  </si>
  <si>
    <t>Sub Debt at Exit</t>
  </si>
  <si>
    <t>Total Debt at Exit</t>
  </si>
  <si>
    <t>EQUITY VALUE AT EXIT</t>
  </si>
  <si>
    <t>INITIAL EQUITY INVESTMENT</t>
  </si>
  <si>
    <t>RETURNS ANALYSIS</t>
  </si>
  <si>
    <t>Money Multiple (MOIC)</t>
  </si>
  <si>
    <t>IRR (%)</t>
  </si>
  <si>
    <t>LEVERAGE ANALYSIS</t>
  </si>
  <si>
    <t>Entry Leverage (Debt/EBITDA)</t>
  </si>
  <si>
    <t>Exit Leverage (Debt/EBITDA)</t>
  </si>
  <si>
    <t>Sponsor Equity Investment in percent:</t>
  </si>
  <si>
    <t>Debt Investment in percent:</t>
  </si>
  <si>
    <t>Revenue Growth Rate (Yr 2):</t>
  </si>
  <si>
    <t>Revenue Growth Rate (Yr 1):</t>
  </si>
  <si>
    <t>EBITDA Margin (holds constant):</t>
  </si>
  <si>
    <t xml:space="preserve">Taxes </t>
  </si>
  <si>
    <t>FCF Sweep % (amount to debt paydown)</t>
  </si>
  <si>
    <t>Interest Paid</t>
  </si>
  <si>
    <t>CAPEX</t>
  </si>
  <si>
    <t>Change in Working Capital</t>
  </si>
  <si>
    <t>Taxes</t>
  </si>
  <si>
    <t>FCF</t>
  </si>
  <si>
    <t>Change in working capital %</t>
  </si>
  <si>
    <t>F-Secure</t>
  </si>
  <si>
    <t>FSECURE</t>
  </si>
  <si>
    <t>D&amp;A % of Revenue(absent hence using industry average):</t>
  </si>
  <si>
    <t>Capital Expenditures (CapEx) as a percentage of Revenue</t>
  </si>
</sst>
</file>

<file path=xl/styles.xml><?xml version="1.0" encoding="utf-8"?>
<styleSheet xmlns="http://purl.oclc.org/ooxml/spreadsheetml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#,##0.0"/>
    <numFmt numFmtId="165" formatCode="0.0%"/>
    <numFmt numFmtId="166" formatCode="0.0\x"/>
    <numFmt numFmtId="167" formatCode="0.0"/>
  </numFmts>
  <fonts count="8" x14ac:knownFonts="1">
    <font>
      <sz val="11"/>
      <color theme="1"/>
      <name val="Calibri"/>
      <family val="2"/>
      <scheme val="minor"/>
    </font>
    <font>
      <b/>
      <sz val="14"/>
      <color rgb="FFFFFFFF"/>
      <name val="Calibri"/>
      <family val="2"/>
    </font>
    <font>
      <b/>
      <sz val="11"/>
      <name val="Calibri"/>
      <family val="2"/>
    </font>
    <font>
      <b/>
      <sz val="12"/>
      <color rgb="FFFFFFFF"/>
      <name val="Calibri"/>
      <family val="2"/>
    </font>
    <font>
      <b/>
      <sz val="11"/>
      <color rgb="FFFFFFFF"/>
      <name val="Calibri"/>
      <family val="2"/>
    </font>
    <font>
      <b/>
      <sz val="11"/>
      <name val="Calibri"/>
      <family val="2"/>
    </font>
    <font>
      <b/>
      <sz val="12"/>
      <name val="Calibri"/>
      <family val="2"/>
    </font>
    <font>
      <sz val="11"/>
      <color theme="1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1F4E78"/>
        <bgColor rgb="FF1F4E78"/>
      </patternFill>
    </fill>
    <fill>
      <patternFill patternType="solid">
        <fgColor rgb="FFFFEB9C"/>
        <bgColor rgb="FFFFEB9C"/>
      </patternFill>
    </fill>
    <fill>
      <patternFill patternType="solid">
        <fgColor rgb="FFC6E0B4"/>
        <bgColor rgb="FFC6E0B4"/>
      </patternFill>
    </fill>
    <fill>
      <patternFill patternType="solid">
        <fgColor rgb="FFFFC7CE"/>
        <bgColor rgb="FFFFC7CE"/>
      </patternFill>
    </fill>
  </fills>
  <borders count="1">
    <border>
      <start/>
      <end/>
      <top/>
      <bottom/>
      <diagonal/>
    </border>
  </borders>
  <cellStyleXfs count="2">
    <xf numFmtId="0" fontId="0" fillId="0" borderId="0"/>
    <xf numFmtId="9" fontId="7" fillId="0" borderId="0" applyFont="0" applyFill="0" applyBorder="0" applyAlignment="0" applyProtection="0"/>
  </cellStyleXfs>
  <cellXfs count="21">
    <xf numFmtId="0" fontId="0" fillId="0" borderId="0" xfId="0"/>
    <xf numFmtId="0" fontId="0" fillId="3" borderId="0" xfId="0" applyFill="1"/>
    <xf numFmtId="0" fontId="2" fillId="0" borderId="0" xfId="0" applyFont="1"/>
    <xf numFmtId="0" fontId="0" fillId="4" borderId="0" xfId="0" applyFill="1"/>
    <xf numFmtId="0" fontId="4" fillId="2" borderId="0" xfId="0" applyFont="1" applyFill="1" applyAlignment="1">
      <alignment horizontal="center"/>
    </xf>
    <xf numFmtId="164" fontId="0" fillId="0" borderId="0" xfId="0" applyNumberFormat="1"/>
    <xf numFmtId="165" fontId="0" fillId="0" borderId="0" xfId="0" applyNumberFormat="1"/>
    <xf numFmtId="164" fontId="5" fillId="0" borderId="0" xfId="0" applyNumberFormat="1" applyFont="1"/>
    <xf numFmtId="0" fontId="5" fillId="0" borderId="0" xfId="0" applyFont="1"/>
    <xf numFmtId="166" fontId="0" fillId="0" borderId="0" xfId="0" applyNumberFormat="1"/>
    <xf numFmtId="164" fontId="5" fillId="4" borderId="0" xfId="0" applyNumberFormat="1" applyFont="1" applyFill="1"/>
    <xf numFmtId="166" fontId="6" fillId="5" borderId="0" xfId="0" applyNumberFormat="1" applyFont="1" applyFill="1"/>
    <xf numFmtId="165" fontId="6" fillId="5" borderId="0" xfId="0" applyNumberFormat="1" applyFont="1" applyFill="1"/>
    <xf numFmtId="9" fontId="0" fillId="4" borderId="0" xfId="1" applyFont="1" applyFill="1"/>
    <xf numFmtId="10" fontId="0" fillId="4" borderId="0" xfId="1" applyNumberFormat="1" applyFont="1" applyFill="1"/>
    <xf numFmtId="10" fontId="0" fillId="3" borderId="0" xfId="1" applyNumberFormat="1" applyFont="1" applyFill="1"/>
    <xf numFmtId="167" fontId="0" fillId="0" borderId="0" xfId="0" applyNumberFormat="1"/>
    <xf numFmtId="2" fontId="0" fillId="0" borderId="0" xfId="0" applyNumberFormat="1"/>
    <xf numFmtId="0" fontId="1" fillId="2" borderId="0" xfId="0" applyFont="1" applyFill="1"/>
    <xf numFmtId="0" fontId="0" fillId="0" borderId="0" xfId="0"/>
    <xf numFmtId="0" fontId="3" fillId="2" borderId="0" xfId="0" applyFont="1" applyFill="1"/>
  </cellXfs>
  <cellStyles count="2">
    <cellStyle name="Normal" xfId="0" builtinId="0"/>
    <cellStyle name="Per cent" xfId="1" builtinId="5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purl.oclc.org/ooxml/officeDocument/relationships/calcChain" Target="calcChain.xml"/><Relationship Id="rId3" Type="http://purl.oclc.org/ooxml/officeDocument/relationships/worksheet" Target="worksheets/sheet3.xml"/><Relationship Id="rId7" Type="http://purl.oclc.org/ooxml/officeDocument/relationships/sharedStrings" Target="sharedStrings.xml"/><Relationship Id="rId2" Type="http://purl.oclc.org/ooxml/officeDocument/relationships/worksheet" Target="worksheets/sheet2.xml"/><Relationship Id="rId1" Type="http://purl.oclc.org/ooxml/officeDocument/relationships/worksheet" Target="worksheets/sheet1.xml"/><Relationship Id="rId6" Type="http://purl.oclc.org/ooxml/officeDocument/relationships/styles" Target="styles.xml"/><Relationship Id="rId5" Type="http://purl.oclc.org/ooxml/officeDocument/relationships/theme" Target="theme/theme1.xml"/><Relationship Id="rId4" Type="http://purl.oclc.org/ooxml/officeDocument/relationships/worksheet" Target="worksheets/sheet4.xml"/></Relationships>
</file>

<file path=xl/theme/theme1.xml><?xml version="1.0" encoding="utf-8"?>
<a:theme xmlns:a="http://purl.oclc.org/ooxml/drawingml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%">
              <a:schemeClr val="phClr">
                <a:tint val="50%"/>
                <a:satMod val="300%"/>
              </a:schemeClr>
            </a:gs>
            <a:gs pos="35%">
              <a:schemeClr val="phClr">
                <a:tint val="37%"/>
                <a:satMod val="300%"/>
              </a:schemeClr>
            </a:gs>
            <a:gs pos="100%">
              <a:schemeClr val="phClr">
                <a:tint val="15%"/>
                <a:satMod val="350%"/>
              </a:schemeClr>
            </a:gs>
          </a:gsLst>
          <a:lin ang="16200000" scaled="1"/>
        </a:gradFill>
        <a:gradFill rotWithShape="1">
          <a:gsLst>
            <a:gs pos="0%">
              <a:schemeClr val="phClr">
                <a:shade val="51%"/>
                <a:satMod val="130%"/>
              </a:schemeClr>
            </a:gs>
            <a:gs pos="80%">
              <a:schemeClr val="phClr">
                <a:shade val="93%"/>
                <a:satMod val="130%"/>
              </a:schemeClr>
            </a:gs>
            <a:gs pos="100%">
              <a:schemeClr val="phClr">
                <a:shade val="94%"/>
                <a:satMod val="135%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%"/>
              <a:satMod val="105%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%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%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%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%">
              <a:schemeClr val="phClr">
                <a:tint val="40%"/>
                <a:satMod val="350%"/>
              </a:schemeClr>
            </a:gs>
            <a:gs pos="40%">
              <a:schemeClr val="phClr">
                <a:tint val="45%"/>
                <a:shade val="99%"/>
                <a:satMod val="350%"/>
              </a:schemeClr>
            </a:gs>
            <a:gs pos="100%">
              <a:schemeClr val="phClr">
                <a:shade val="20%"/>
                <a:satMod val="255%"/>
              </a:schemeClr>
            </a:gs>
          </a:gsLst>
          <a:path path="circle">
            <a:fillToRect l="50%" t="-80%" r="50%" b="180%"/>
          </a:path>
        </a:gradFill>
        <a:gradFill rotWithShape="1">
          <a:gsLst>
            <a:gs pos="0%">
              <a:schemeClr val="phClr">
                <a:tint val="80%"/>
                <a:satMod val="300%"/>
              </a:schemeClr>
            </a:gs>
            <a:gs pos="100%">
              <a:schemeClr val="phClr">
                <a:shade val="30%"/>
                <a:satMod val="200%"/>
              </a:schemeClr>
            </a:gs>
          </a:gsLst>
          <a:path path="circle">
            <a:fillToRect l="50%" t="50%" r="50%" b="50%"/>
          </a:path>
        </a:gradFill>
      </a:bgFillStyleLst>
    </a:fmtScheme>
  </a:themeElements>
  <a:objectDefaults/>
  <a:extraClrSchemeLst/>
</a:theme>
</file>

<file path=xl/worksheets/sheet1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1"/>
  <sheetViews>
    <sheetView topLeftCell="A29" zoomScale="188" workbookViewId="0">
      <selection activeCell="A38" sqref="A38"/>
    </sheetView>
  </sheetViews>
  <sheetFormatPr baseColWidth="10" defaultColWidth="8.83203125" defaultRowHeight="15" x14ac:dyDescent="0.2"/>
  <cols>
    <col min="1" max="1" width="44.1640625" bestFit="1" customWidth="1"/>
    <col min="2" max="2" width="15" customWidth="1"/>
    <col min="3" max="3" width="20" customWidth="1"/>
  </cols>
  <sheetData>
    <row r="1" spans="1:3" ht="19" x14ac:dyDescent="0.25">
      <c r="A1" s="18" t="s">
        <v>0</v>
      </c>
      <c r="B1" s="19"/>
      <c r="C1" s="19"/>
    </row>
    <row r="3" spans="1:3" x14ac:dyDescent="0.2">
      <c r="A3" t="s">
        <v>1</v>
      </c>
      <c r="B3" s="1" t="s">
        <v>86</v>
      </c>
    </row>
    <row r="4" spans="1:3" x14ac:dyDescent="0.2">
      <c r="A4" t="s">
        <v>2</v>
      </c>
      <c r="B4" s="1" t="s">
        <v>87</v>
      </c>
    </row>
    <row r="6" spans="1:3" x14ac:dyDescent="0.2">
      <c r="A6" s="2" t="s">
        <v>3</v>
      </c>
    </row>
    <row r="7" spans="1:3" x14ac:dyDescent="0.2">
      <c r="A7" t="s">
        <v>4</v>
      </c>
      <c r="B7" s="1">
        <v>169</v>
      </c>
      <c r="C7" t="s">
        <v>5</v>
      </c>
    </row>
    <row r="8" spans="1:3" x14ac:dyDescent="0.2">
      <c r="A8" t="s">
        <v>6</v>
      </c>
      <c r="B8" s="1">
        <v>46</v>
      </c>
      <c r="C8" t="s">
        <v>5</v>
      </c>
    </row>
    <row r="9" spans="1:3" x14ac:dyDescent="0.2">
      <c r="A9" t="s">
        <v>7</v>
      </c>
      <c r="B9" s="15">
        <v>0.27200000000000002</v>
      </c>
      <c r="C9" t="s">
        <v>8</v>
      </c>
    </row>
    <row r="10" spans="1:3" x14ac:dyDescent="0.2">
      <c r="A10" t="s">
        <v>9</v>
      </c>
      <c r="B10" s="1">
        <v>183.6</v>
      </c>
      <c r="C10" t="s">
        <v>5</v>
      </c>
    </row>
    <row r="12" spans="1:3" x14ac:dyDescent="0.2">
      <c r="A12" s="2" t="s">
        <v>10</v>
      </c>
    </row>
    <row r="13" spans="1:3" x14ac:dyDescent="0.2">
      <c r="A13" t="s">
        <v>11</v>
      </c>
      <c r="B13" s="1">
        <v>12.27</v>
      </c>
      <c r="C13" t="s">
        <v>12</v>
      </c>
    </row>
    <row r="14" spans="1:3" x14ac:dyDescent="0.2">
      <c r="A14" t="s">
        <v>13</v>
      </c>
      <c r="B14" s="3">
        <f>B8*B13</f>
        <v>564.41999999999996</v>
      </c>
      <c r="C14" t="s">
        <v>5</v>
      </c>
    </row>
    <row r="16" spans="1:3" x14ac:dyDescent="0.2">
      <c r="A16" s="2" t="s">
        <v>14</v>
      </c>
    </row>
    <row r="17" spans="1:3" x14ac:dyDescent="0.2">
      <c r="A17" t="s">
        <v>73</v>
      </c>
      <c r="B17" s="13">
        <v>0.4</v>
      </c>
      <c r="C17" t="s">
        <v>8</v>
      </c>
    </row>
    <row r="18" spans="1:3" x14ac:dyDescent="0.2">
      <c r="A18" t="s">
        <v>74</v>
      </c>
      <c r="B18" s="13">
        <f>1-B17</f>
        <v>0.6</v>
      </c>
      <c r="C18" t="s">
        <v>8</v>
      </c>
    </row>
    <row r="19" spans="1:3" x14ac:dyDescent="0.2">
      <c r="A19" t="s">
        <v>15</v>
      </c>
      <c r="B19" s="3">
        <f>B14*B17</f>
        <v>225.768</v>
      </c>
      <c r="C19" t="s">
        <v>5</v>
      </c>
    </row>
    <row r="20" spans="1:3" x14ac:dyDescent="0.2">
      <c r="A20" t="s">
        <v>16</v>
      </c>
      <c r="B20" s="3">
        <f>B14*B18</f>
        <v>338.65199999999999</v>
      </c>
      <c r="C20" t="s">
        <v>5</v>
      </c>
    </row>
    <row r="21" spans="1:3" x14ac:dyDescent="0.2">
      <c r="A21" t="s">
        <v>17</v>
      </c>
      <c r="B21" s="3">
        <f>B20/B8</f>
        <v>7.3620000000000001</v>
      </c>
      <c r="C21" t="s">
        <v>18</v>
      </c>
    </row>
    <row r="22" spans="1:3" x14ac:dyDescent="0.2">
      <c r="A22" t="s">
        <v>19</v>
      </c>
      <c r="B22" s="3">
        <f>B20*0.71</f>
        <v>240.44291999999999</v>
      </c>
      <c r="C22" t="s">
        <v>5</v>
      </c>
    </row>
    <row r="23" spans="1:3" x14ac:dyDescent="0.2">
      <c r="A23" t="s">
        <v>20</v>
      </c>
      <c r="B23" s="3">
        <f>B20*0.29</f>
        <v>98.209079999999986</v>
      </c>
      <c r="C23" t="s">
        <v>5</v>
      </c>
    </row>
    <row r="25" spans="1:3" x14ac:dyDescent="0.2">
      <c r="A25" s="2" t="s">
        <v>21</v>
      </c>
    </row>
    <row r="26" spans="1:3" x14ac:dyDescent="0.2">
      <c r="A26" t="s">
        <v>22</v>
      </c>
      <c r="B26" s="14">
        <v>6.3E-2</v>
      </c>
      <c r="C26" t="s">
        <v>8</v>
      </c>
    </row>
    <row r="27" spans="1:3" x14ac:dyDescent="0.2">
      <c r="A27" t="s">
        <v>23</v>
      </c>
      <c r="B27" s="14">
        <v>8.8499999999999995E-2</v>
      </c>
      <c r="C27" t="s">
        <v>8</v>
      </c>
    </row>
    <row r="29" spans="1:3" x14ac:dyDescent="0.2">
      <c r="A29" s="2" t="s">
        <v>24</v>
      </c>
    </row>
    <row r="30" spans="1:3" x14ac:dyDescent="0.2">
      <c r="A30" t="s">
        <v>76</v>
      </c>
      <c r="B30" s="15">
        <v>7.0400000000000004E-2</v>
      </c>
      <c r="C30" t="s">
        <v>8</v>
      </c>
    </row>
    <row r="31" spans="1:3" x14ac:dyDescent="0.2">
      <c r="A31" t="s">
        <v>75</v>
      </c>
      <c r="B31" s="15">
        <v>5.9799999999999999E-2</v>
      </c>
      <c r="C31" t="s">
        <v>8</v>
      </c>
    </row>
    <row r="32" spans="1:3" x14ac:dyDescent="0.2">
      <c r="A32" t="s">
        <v>25</v>
      </c>
      <c r="B32" s="14">
        <f>AVERAGE(B30:B31)</f>
        <v>6.5100000000000005E-2</v>
      </c>
      <c r="C32" t="s">
        <v>8</v>
      </c>
    </row>
    <row r="33" spans="1:3" x14ac:dyDescent="0.2">
      <c r="A33" t="s">
        <v>77</v>
      </c>
      <c r="B33" s="15">
        <f>B9</f>
        <v>0.27200000000000002</v>
      </c>
      <c r="C33" t="s">
        <v>8</v>
      </c>
    </row>
    <row r="34" spans="1:3" x14ac:dyDescent="0.2">
      <c r="A34" t="s">
        <v>88</v>
      </c>
      <c r="B34" s="15">
        <v>0.03</v>
      </c>
      <c r="C34" t="s">
        <v>8</v>
      </c>
    </row>
    <row r="35" spans="1:3" x14ac:dyDescent="0.2">
      <c r="A35" t="s">
        <v>26</v>
      </c>
      <c r="B35" s="15">
        <v>0.2</v>
      </c>
      <c r="C35" t="s">
        <v>8</v>
      </c>
    </row>
    <row r="36" spans="1:3" x14ac:dyDescent="0.2">
      <c r="A36" t="s">
        <v>79</v>
      </c>
      <c r="B36" s="15">
        <v>0.75</v>
      </c>
      <c r="C36" t="s">
        <v>8</v>
      </c>
    </row>
    <row r="37" spans="1:3" x14ac:dyDescent="0.2">
      <c r="A37" t="s">
        <v>89</v>
      </c>
      <c r="B37" s="15">
        <v>0.02</v>
      </c>
      <c r="C37" t="s">
        <v>8</v>
      </c>
    </row>
    <row r="38" spans="1:3" x14ac:dyDescent="0.2">
      <c r="A38" t="s">
        <v>85</v>
      </c>
      <c r="B38" s="15">
        <v>0</v>
      </c>
      <c r="C38" t="s">
        <v>8</v>
      </c>
    </row>
    <row r="40" spans="1:3" x14ac:dyDescent="0.2">
      <c r="A40" s="2" t="s">
        <v>27</v>
      </c>
    </row>
    <row r="41" spans="1:3" x14ac:dyDescent="0.2">
      <c r="A41" t="s">
        <v>28</v>
      </c>
      <c r="B41" s="3">
        <f>B13</f>
        <v>12.27</v>
      </c>
      <c r="C41" t="s">
        <v>12</v>
      </c>
    </row>
  </sheetData>
  <mergeCells count="1">
    <mergeCell ref="A1:C1"/>
  </mergeCells>
  <pageMargins left="0.75" right="0.75" top="1" bottom="1" header="0.5" footer="0.5"/>
</worksheet>
</file>

<file path=xl/worksheets/sheet2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22"/>
  <sheetViews>
    <sheetView zoomScale="164" workbookViewId="0">
      <selection activeCell="B18" sqref="B18:G18"/>
    </sheetView>
  </sheetViews>
  <sheetFormatPr baseColWidth="10" defaultColWidth="8.83203125" defaultRowHeight="15" x14ac:dyDescent="0.2"/>
  <cols>
    <col min="1" max="1" width="30" customWidth="1"/>
    <col min="2" max="7" width="13" customWidth="1"/>
  </cols>
  <sheetData>
    <row r="1" spans="1:7" ht="16" x14ac:dyDescent="0.2">
      <c r="A1" s="20" t="s">
        <v>29</v>
      </c>
      <c r="B1" s="19"/>
      <c r="C1" s="19"/>
      <c r="D1" s="19"/>
      <c r="E1" s="19"/>
      <c r="F1" s="19"/>
      <c r="G1" s="19"/>
    </row>
    <row r="3" spans="1:7" x14ac:dyDescent="0.2">
      <c r="A3" s="4" t="s">
        <v>30</v>
      </c>
      <c r="B3" s="4" t="s">
        <v>31</v>
      </c>
      <c r="C3" s="4" t="s">
        <v>32</v>
      </c>
      <c r="D3" s="4" t="s">
        <v>33</v>
      </c>
      <c r="E3" s="4" t="s">
        <v>34</v>
      </c>
      <c r="F3" s="4" t="s">
        <v>35</v>
      </c>
      <c r="G3" s="4" t="s">
        <v>36</v>
      </c>
    </row>
    <row r="4" spans="1:7" x14ac:dyDescent="0.2">
      <c r="A4" t="s">
        <v>37</v>
      </c>
      <c r="B4" s="5">
        <f>Assumptions!B7</f>
        <v>169</v>
      </c>
      <c r="C4" s="5">
        <f>B4*(1+Assumptions!B30)</f>
        <v>180.89760000000001</v>
      </c>
      <c r="D4" s="5">
        <f>C4*(1+Assumptions!B31)</f>
        <v>191.71527648000003</v>
      </c>
      <c r="E4" s="5">
        <f>D4*(1+Assumptions!B32)</f>
        <v>204.19594097884803</v>
      </c>
      <c r="F4" s="5">
        <f>E4*(1+Assumptions!B32)</f>
        <v>217.48909673657101</v>
      </c>
      <c r="G4" s="5">
        <f>F4*(1+Assumptions!B32)</f>
        <v>231.64763693412178</v>
      </c>
    </row>
    <row r="5" spans="1:7" x14ac:dyDescent="0.2">
      <c r="A5" t="s">
        <v>38</v>
      </c>
      <c r="B5" s="5">
        <f>B4*Assumptions!$B$33</f>
        <v>45.968000000000004</v>
      </c>
      <c r="C5" s="5">
        <f>C4*Assumptions!$B$33</f>
        <v>49.204147200000008</v>
      </c>
      <c r="D5" s="5">
        <f>D4*Assumptions!$B$33</f>
        <v>52.146555202560009</v>
      </c>
      <c r="E5" s="5">
        <f>E4*Assumptions!$B$33</f>
        <v>55.54129594624667</v>
      </c>
      <c r="F5" s="5">
        <f>F4*Assumptions!$B$33</f>
        <v>59.157034312347321</v>
      </c>
      <c r="G5" s="5">
        <f>G4*Assumptions!$B$33</f>
        <v>63.008157246081126</v>
      </c>
    </row>
    <row r="6" spans="1:7" x14ac:dyDescent="0.2">
      <c r="A6" t="s">
        <v>39</v>
      </c>
      <c r="B6" s="6">
        <f t="shared" ref="B6:G6" si="0">B5/B4</f>
        <v>0.27200000000000002</v>
      </c>
      <c r="C6" s="6">
        <f t="shared" si="0"/>
        <v>0.27200000000000002</v>
      </c>
      <c r="D6" s="6">
        <f t="shared" si="0"/>
        <v>0.27200000000000002</v>
      </c>
      <c r="E6" s="6">
        <f t="shared" si="0"/>
        <v>0.27200000000000002</v>
      </c>
      <c r="F6" s="6">
        <f t="shared" si="0"/>
        <v>0.27200000000000002</v>
      </c>
      <c r="G6" s="6">
        <f t="shared" si="0"/>
        <v>0.27200000000000002</v>
      </c>
    </row>
    <row r="7" spans="1:7" x14ac:dyDescent="0.2">
      <c r="A7" t="s">
        <v>40</v>
      </c>
      <c r="B7" s="5">
        <f>B4*Assumptions!$B$34</f>
        <v>5.0699999999999994</v>
      </c>
      <c r="C7" s="5">
        <f>C4*Assumptions!$B$34</f>
        <v>5.4269280000000002</v>
      </c>
      <c r="D7" s="5">
        <f>D4*Assumptions!$B$34</f>
        <v>5.7514582944000008</v>
      </c>
      <c r="E7" s="5">
        <f>E4*Assumptions!$B$34</f>
        <v>6.1258782293654406</v>
      </c>
      <c r="F7" s="5">
        <f>F4*Assumptions!$B$34</f>
        <v>6.5246729020971301</v>
      </c>
      <c r="G7" s="5">
        <f>G4*Assumptions!$B$34</f>
        <v>6.9494291080236534</v>
      </c>
    </row>
    <row r="8" spans="1:7" x14ac:dyDescent="0.2">
      <c r="A8" t="s">
        <v>41</v>
      </c>
      <c r="B8" s="5">
        <f t="shared" ref="B8:G8" si="1">B5-B7</f>
        <v>40.898000000000003</v>
      </c>
      <c r="C8" s="5">
        <f t="shared" si="1"/>
        <v>43.777219200000005</v>
      </c>
      <c r="D8" s="5">
        <f t="shared" si="1"/>
        <v>46.395096908160006</v>
      </c>
      <c r="E8" s="5">
        <f t="shared" si="1"/>
        <v>49.41541771688123</v>
      </c>
      <c r="F8" s="5">
        <f t="shared" si="1"/>
        <v>52.632361410250191</v>
      </c>
      <c r="G8" s="5">
        <f t="shared" si="1"/>
        <v>56.058728138057475</v>
      </c>
    </row>
    <row r="10" spans="1:7" x14ac:dyDescent="0.2">
      <c r="A10" t="s">
        <v>42</v>
      </c>
      <c r="B10" s="5">
        <f>Debt_Schedule!B6*Assumptions!$B$26</f>
        <v>15.147903959999999</v>
      </c>
      <c r="C10" s="5">
        <f>Debt_Schedule!C6*Assumptions!$B$26</f>
        <v>15.147903959999999</v>
      </c>
      <c r="D10" s="5">
        <f>Debt_Schedule!D6*Assumptions!$B$26</f>
        <v>14.308780563252</v>
      </c>
      <c r="E10" s="5">
        <f>Debt_Schedule!E6*Assumptions!$B$26</f>
        <v>13.333871172601677</v>
      </c>
      <c r="F10" s="5">
        <f>Debt_Schedule!F6*Assumptions!$B$26</f>
        <v>12.202044966439402</v>
      </c>
      <c r="G10" s="5">
        <f>Debt_Schedule!G6*Assumptions!$B$26</f>
        <v>10.899554241979326</v>
      </c>
    </row>
    <row r="11" spans="1:7" x14ac:dyDescent="0.2">
      <c r="A11" t="s">
        <v>43</v>
      </c>
      <c r="B11" s="5">
        <f>Debt_Schedule!B11*Assumptions!$B$27</f>
        <v>8.6915035799999991</v>
      </c>
      <c r="C11" s="5">
        <f>Debt_Schedule!C11*Assumptions!$B$27</f>
        <v>8.6915035799999991</v>
      </c>
      <c r="D11" s="5">
        <f>Debt_Schedule!D11*Assumptions!$B$27</f>
        <v>8.6915035799999991</v>
      </c>
      <c r="E11" s="5">
        <f>Debt_Schedule!E11*Assumptions!$B$27</f>
        <v>8.6915035799999991</v>
      </c>
      <c r="F11" s="5">
        <f>Debt_Schedule!F11*Assumptions!$B$27</f>
        <v>8.6915035799999991</v>
      </c>
      <c r="G11" s="5">
        <f>Debt_Schedule!G11*Assumptions!$B$27</f>
        <v>8.6915035799999991</v>
      </c>
    </row>
    <row r="12" spans="1:7" x14ac:dyDescent="0.2">
      <c r="A12" t="s">
        <v>44</v>
      </c>
      <c r="B12" s="5">
        <f t="shared" ref="B12:G12" si="2">B10+B11</f>
        <v>23.839407539999996</v>
      </c>
      <c r="C12" s="5">
        <f t="shared" si="2"/>
        <v>23.839407539999996</v>
      </c>
      <c r="D12" s="5">
        <f t="shared" si="2"/>
        <v>23.000284143251999</v>
      </c>
      <c r="E12" s="5">
        <f t="shared" si="2"/>
        <v>22.025374752601678</v>
      </c>
      <c r="F12" s="5">
        <f t="shared" si="2"/>
        <v>20.893548546439401</v>
      </c>
      <c r="G12" s="5">
        <f t="shared" si="2"/>
        <v>19.591057821979327</v>
      </c>
    </row>
    <row r="13" spans="1:7" x14ac:dyDescent="0.2">
      <c r="A13" t="s">
        <v>45</v>
      </c>
      <c r="B13" s="5">
        <f t="shared" ref="B13:G13" si="3">B8-B12</f>
        <v>17.058592460000007</v>
      </c>
      <c r="C13" s="5">
        <f t="shared" si="3"/>
        <v>19.937811660000008</v>
      </c>
      <c r="D13" s="5">
        <f t="shared" si="3"/>
        <v>23.394812764908007</v>
      </c>
      <c r="E13" s="5">
        <f t="shared" si="3"/>
        <v>27.390042964279552</v>
      </c>
      <c r="F13" s="5">
        <f t="shared" si="3"/>
        <v>31.738812863810789</v>
      </c>
      <c r="G13" s="5">
        <f t="shared" si="3"/>
        <v>36.467670316078149</v>
      </c>
    </row>
    <row r="14" spans="1:7" x14ac:dyDescent="0.2">
      <c r="A14" t="s">
        <v>78</v>
      </c>
      <c r="B14" s="5">
        <f>B13*Assumptions!$B$35</f>
        <v>3.4117184920000017</v>
      </c>
      <c r="C14" s="5">
        <f>C13*Assumptions!$B$35</f>
        <v>3.9875623320000018</v>
      </c>
      <c r="D14" s="5">
        <f>D13*Assumptions!$B$35</f>
        <v>4.6789625529816012</v>
      </c>
      <c r="E14" s="5">
        <f>E13*Assumptions!$B$35</f>
        <v>5.478008592855911</v>
      </c>
      <c r="F14" s="5">
        <f>F13*Assumptions!$B$35</f>
        <v>6.3477625727621581</v>
      </c>
      <c r="G14" s="5">
        <f>G13*Assumptions!$B$35</f>
        <v>7.2935340632156302</v>
      </c>
    </row>
    <row r="15" spans="1:7" x14ac:dyDescent="0.2">
      <c r="A15" t="s">
        <v>46</v>
      </c>
      <c r="B15" s="7">
        <f t="shared" ref="B15:G15" si="4">B13-B14</f>
        <v>13.646873968000005</v>
      </c>
      <c r="C15" s="7">
        <f t="shared" si="4"/>
        <v>15.950249328000007</v>
      </c>
      <c r="D15" s="7">
        <f t="shared" si="4"/>
        <v>18.715850211926405</v>
      </c>
      <c r="E15" s="7">
        <f t="shared" si="4"/>
        <v>21.912034371423641</v>
      </c>
      <c r="F15" s="7">
        <f t="shared" si="4"/>
        <v>25.391050291048632</v>
      </c>
      <c r="G15" s="7">
        <f t="shared" si="4"/>
        <v>29.174136252862517</v>
      </c>
    </row>
    <row r="17" spans="1:7" x14ac:dyDescent="0.2">
      <c r="A17" t="s">
        <v>80</v>
      </c>
      <c r="B17" s="5">
        <f>B12</f>
        <v>23.839407539999996</v>
      </c>
      <c r="C17" s="5">
        <f t="shared" ref="C17:G17" si="5">C12</f>
        <v>23.839407539999996</v>
      </c>
      <c r="D17" s="5">
        <f t="shared" si="5"/>
        <v>23.000284143251999</v>
      </c>
      <c r="E17" s="5">
        <f t="shared" si="5"/>
        <v>22.025374752601678</v>
      </c>
      <c r="F17" s="5">
        <f t="shared" si="5"/>
        <v>20.893548546439401</v>
      </c>
      <c r="G17" s="5">
        <f t="shared" si="5"/>
        <v>19.591057821979327</v>
      </c>
    </row>
    <row r="18" spans="1:7" x14ac:dyDescent="0.2">
      <c r="A18" t="s">
        <v>81</v>
      </c>
      <c r="B18" s="17">
        <f>B4*Assumptions!$B$37</f>
        <v>3.38</v>
      </c>
      <c r="C18" s="17">
        <f>C4*Assumptions!$B$37</f>
        <v>3.6179520000000003</v>
      </c>
      <c r="D18" s="17">
        <f>D4*Assumptions!$B$37</f>
        <v>3.8343055296000008</v>
      </c>
      <c r="E18" s="17">
        <f>E4*Assumptions!$B$37</f>
        <v>4.0839188195769607</v>
      </c>
      <c r="F18" s="17">
        <f>F4*Assumptions!$B$37</f>
        <v>4.3497819347314204</v>
      </c>
      <c r="G18" s="17">
        <f>G4*Assumptions!$B$37</f>
        <v>4.6329527386824356</v>
      </c>
    </row>
    <row r="19" spans="1:7" x14ac:dyDescent="0.2">
      <c r="A19" t="s">
        <v>82</v>
      </c>
      <c r="B19">
        <f>B4*Assumptions!$B$38</f>
        <v>0</v>
      </c>
      <c r="C19">
        <f>C4*Assumptions!$B$38</f>
        <v>0</v>
      </c>
      <c r="D19">
        <f>D4*Assumptions!$B$38</f>
        <v>0</v>
      </c>
      <c r="E19">
        <f>E4*Assumptions!$B$38</f>
        <v>0</v>
      </c>
      <c r="F19">
        <f>F4*Assumptions!$B$38</f>
        <v>0</v>
      </c>
      <c r="G19">
        <f>G4*Assumptions!$B$38</f>
        <v>0</v>
      </c>
    </row>
    <row r="20" spans="1:7" x14ac:dyDescent="0.2">
      <c r="A20" t="s">
        <v>83</v>
      </c>
      <c r="B20" s="5">
        <f>B14</f>
        <v>3.4117184920000017</v>
      </c>
      <c r="C20" s="5">
        <f t="shared" ref="C20:G20" si="6">C14</f>
        <v>3.9875623320000018</v>
      </c>
      <c r="D20" s="5">
        <f t="shared" si="6"/>
        <v>4.6789625529816012</v>
      </c>
      <c r="E20" s="5">
        <f t="shared" si="6"/>
        <v>5.478008592855911</v>
      </c>
      <c r="F20" s="5">
        <f t="shared" si="6"/>
        <v>6.3477625727621581</v>
      </c>
      <c r="G20" s="5">
        <f t="shared" si="6"/>
        <v>7.2935340632156302</v>
      </c>
    </row>
    <row r="21" spans="1:7" x14ac:dyDescent="0.2">
      <c r="A21" t="s">
        <v>38</v>
      </c>
      <c r="B21" s="5">
        <f>B5</f>
        <v>45.968000000000004</v>
      </c>
      <c r="C21" s="5">
        <f t="shared" ref="C21:G21" si="7">C5</f>
        <v>49.204147200000008</v>
      </c>
      <c r="D21" s="5">
        <f t="shared" si="7"/>
        <v>52.146555202560009</v>
      </c>
      <c r="E21" s="5">
        <f t="shared" si="7"/>
        <v>55.54129594624667</v>
      </c>
      <c r="F21" s="5">
        <f t="shared" si="7"/>
        <v>59.157034312347321</v>
      </c>
      <c r="G21" s="5">
        <f t="shared" si="7"/>
        <v>63.008157246081126</v>
      </c>
    </row>
    <row r="22" spans="1:7" x14ac:dyDescent="0.2">
      <c r="A22" t="s">
        <v>84</v>
      </c>
      <c r="B22" s="5">
        <f>B21-B20-B19-B18-B17</f>
        <v>15.336873968000006</v>
      </c>
      <c r="C22" s="5">
        <f t="shared" ref="C22:G22" si="8">C21-C20-C19-C18-C17</f>
        <v>17.759225328000007</v>
      </c>
      <c r="D22" s="5">
        <f t="shared" si="8"/>
        <v>20.633002976726406</v>
      </c>
      <c r="E22" s="5">
        <f t="shared" si="8"/>
        <v>23.953993781212127</v>
      </c>
      <c r="F22" s="5">
        <f t="shared" si="8"/>
        <v>27.565941258414345</v>
      </c>
      <c r="G22" s="5">
        <f t="shared" si="8"/>
        <v>31.490612622203734</v>
      </c>
    </row>
  </sheetData>
  <mergeCells count="1">
    <mergeCell ref="A1:G1"/>
  </mergeCells>
  <pageMargins left="0.75" right="0.75" top="1" bottom="1" header="0.5" footer="0.5"/>
</worksheet>
</file>

<file path=xl/worksheets/sheet3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8"/>
  <sheetViews>
    <sheetView workbookViewId="0">
      <selection activeCell="E20" sqref="E20"/>
    </sheetView>
  </sheetViews>
  <sheetFormatPr baseColWidth="10" defaultColWidth="8.83203125" defaultRowHeight="15" x14ac:dyDescent="0.2"/>
  <cols>
    <col min="1" max="1" width="30" customWidth="1"/>
    <col min="2" max="7" width="13" customWidth="1"/>
  </cols>
  <sheetData>
    <row r="1" spans="1:7" ht="16" x14ac:dyDescent="0.2">
      <c r="A1" s="20" t="s">
        <v>47</v>
      </c>
      <c r="B1" s="19"/>
      <c r="C1" s="19"/>
      <c r="D1" s="19"/>
      <c r="E1" s="19"/>
      <c r="F1" s="19"/>
      <c r="G1" s="19"/>
    </row>
    <row r="3" spans="1:7" x14ac:dyDescent="0.2">
      <c r="A3" s="4" t="s">
        <v>30</v>
      </c>
      <c r="B3" s="4" t="s">
        <v>31</v>
      </c>
      <c r="C3" s="4" t="s">
        <v>32</v>
      </c>
      <c r="D3" s="4" t="s">
        <v>33</v>
      </c>
      <c r="E3" s="4" t="s">
        <v>34</v>
      </c>
      <c r="F3" s="4" t="s">
        <v>35</v>
      </c>
      <c r="G3" s="4" t="s">
        <v>36</v>
      </c>
    </row>
    <row r="5" spans="1:7" x14ac:dyDescent="0.2">
      <c r="A5" s="8" t="s">
        <v>48</v>
      </c>
    </row>
    <row r="6" spans="1:7" x14ac:dyDescent="0.2">
      <c r="A6" t="s">
        <v>49</v>
      </c>
      <c r="B6" s="16">
        <f>Assumptions!B22</f>
        <v>240.44291999999999</v>
      </c>
      <c r="C6" s="16">
        <f>B7</f>
        <v>240.44291999999999</v>
      </c>
      <c r="D6" s="16">
        <f>C7</f>
        <v>227.12350100399999</v>
      </c>
      <c r="E6" s="16">
        <f>D7</f>
        <v>211.64874877145519</v>
      </c>
      <c r="F6" s="16">
        <f>E7</f>
        <v>193.68325343554608</v>
      </c>
      <c r="G6" s="16">
        <f>F7</f>
        <v>173.00879749173532</v>
      </c>
    </row>
    <row r="7" spans="1:7" x14ac:dyDescent="0.2">
      <c r="A7" t="s">
        <v>50</v>
      </c>
      <c r="B7" s="16">
        <f>B6</f>
        <v>240.44291999999999</v>
      </c>
      <c r="C7" s="16">
        <f>B7-Income_Statement!C22*Assumptions!$B$36</f>
        <v>227.12350100399999</v>
      </c>
      <c r="D7" s="16">
        <f>C7-Income_Statement!D22*Assumptions!$B$36</f>
        <v>211.64874877145519</v>
      </c>
      <c r="E7" s="16">
        <f>D7-Income_Statement!E22*Assumptions!$B$36</f>
        <v>193.68325343554608</v>
      </c>
      <c r="F7" s="16">
        <f>E7-Income_Statement!F22*Assumptions!$B$36</f>
        <v>173.00879749173532</v>
      </c>
      <c r="G7" s="16">
        <f>F7-Income_Statement!G22*Assumptions!$B$36</f>
        <v>149.39083802508253</v>
      </c>
    </row>
    <row r="10" spans="1:7" x14ac:dyDescent="0.2">
      <c r="A10" s="8" t="s">
        <v>51</v>
      </c>
    </row>
    <row r="11" spans="1:7" x14ac:dyDescent="0.2">
      <c r="A11" t="s">
        <v>49</v>
      </c>
      <c r="B11" s="16">
        <f>Assumptions!B23</f>
        <v>98.209079999999986</v>
      </c>
      <c r="C11" s="16">
        <f>B12</f>
        <v>98.209079999999986</v>
      </c>
      <c r="D11" s="16">
        <f>C12</f>
        <v>98.209079999999986</v>
      </c>
      <c r="E11" s="16">
        <f>D12</f>
        <v>98.209079999999986</v>
      </c>
      <c r="F11" s="16">
        <f>E12</f>
        <v>98.209079999999986</v>
      </c>
      <c r="G11" s="16">
        <f>F12</f>
        <v>98.209079999999986</v>
      </c>
    </row>
    <row r="12" spans="1:7" x14ac:dyDescent="0.2">
      <c r="A12" t="s">
        <v>50</v>
      </c>
      <c r="B12" s="16">
        <f t="shared" ref="B12:G12" si="0">B11</f>
        <v>98.209079999999986</v>
      </c>
      <c r="C12" s="16">
        <f t="shared" si="0"/>
        <v>98.209079999999986</v>
      </c>
      <c r="D12" s="16">
        <f t="shared" si="0"/>
        <v>98.209079999999986</v>
      </c>
      <c r="E12" s="16">
        <f t="shared" si="0"/>
        <v>98.209079999999986</v>
      </c>
      <c r="F12" s="16">
        <f t="shared" si="0"/>
        <v>98.209079999999986</v>
      </c>
      <c r="G12" s="16">
        <f t="shared" si="0"/>
        <v>98.209079999999986</v>
      </c>
    </row>
    <row r="15" spans="1:7" x14ac:dyDescent="0.2">
      <c r="A15" s="8" t="s">
        <v>52</v>
      </c>
    </row>
    <row r="16" spans="1:7" x14ac:dyDescent="0.2">
      <c r="A16" t="s">
        <v>53</v>
      </c>
      <c r="B16" s="5">
        <f t="shared" ref="B16:G16" si="1">B7+B12</f>
        <v>338.65199999999999</v>
      </c>
      <c r="C16" s="5">
        <f>C7+C12</f>
        <v>325.33258100399996</v>
      </c>
      <c r="D16" s="5">
        <f t="shared" si="1"/>
        <v>309.85782877145516</v>
      </c>
      <c r="E16" s="5">
        <f t="shared" si="1"/>
        <v>291.89233343554605</v>
      </c>
      <c r="F16" s="5">
        <f t="shared" si="1"/>
        <v>271.21787749173529</v>
      </c>
      <c r="G16" s="5">
        <f t="shared" si="1"/>
        <v>247.5999180250825</v>
      </c>
    </row>
    <row r="18" spans="1:7" x14ac:dyDescent="0.2">
      <c r="A18" t="s">
        <v>54</v>
      </c>
      <c r="B18" s="9">
        <f>B16/Income_Statement!B5</f>
        <v>7.3671249564914714</v>
      </c>
      <c r="C18" s="9">
        <f>C16/Income_Statement!C5</f>
        <v>6.6118934991723606</v>
      </c>
      <c r="D18" s="9">
        <f>D16/Income_Statement!D5</f>
        <v>5.9420574871692278</v>
      </c>
      <c r="E18" s="9">
        <f>E16/Income_Statement!E5</f>
        <v>5.2554109237573767</v>
      </c>
      <c r="F18" s="9">
        <f>F16/Income_Statement!F5</f>
        <v>4.5847105191195565</v>
      </c>
      <c r="G18" s="9">
        <f>G16/Income_Statement!G5</f>
        <v>3.9296486176872327</v>
      </c>
    </row>
  </sheetData>
  <mergeCells count="1">
    <mergeCell ref="A1:G1"/>
  </mergeCells>
  <pageMargins left="0.75" right="0.75" top="1" bottom="1" header="0.5" footer="0.5"/>
</worksheet>
</file>

<file path=xl/worksheets/sheet4.xml><?xml version="1.0" encoding="utf-8"?>
<worksheet xmlns="http://purl.oclc.org/ooxml/spreadsheetml/main" xmlns:r="http://purl.oclc.org/ooxml/officeDocument/relationships" xmlns:v="urn:schemas-microsoft-com:vml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24"/>
  <sheetViews>
    <sheetView tabSelected="1" workbookViewId="0">
      <selection activeCell="B15" sqref="B15"/>
    </sheetView>
  </sheetViews>
  <sheetFormatPr baseColWidth="10" defaultColWidth="8.83203125" defaultRowHeight="15" x14ac:dyDescent="0.2"/>
  <cols>
    <col min="1" max="1" width="35" customWidth="1"/>
    <col min="2" max="2" width="15" customWidth="1"/>
  </cols>
  <sheetData>
    <row r="1" spans="1:3" ht="16" x14ac:dyDescent="0.2">
      <c r="A1" s="20" t="s">
        <v>55</v>
      </c>
      <c r="B1" s="19"/>
      <c r="C1" s="19"/>
    </row>
    <row r="3" spans="1:3" x14ac:dyDescent="0.2">
      <c r="A3" s="2" t="s">
        <v>56</v>
      </c>
    </row>
    <row r="4" spans="1:3" x14ac:dyDescent="0.2">
      <c r="A4" t="s">
        <v>57</v>
      </c>
      <c r="B4" s="5">
        <f>Income_Statement!G4</f>
        <v>231.64763693412178</v>
      </c>
    </row>
    <row r="5" spans="1:3" x14ac:dyDescent="0.2">
      <c r="A5" t="s">
        <v>58</v>
      </c>
      <c r="B5" s="5">
        <f>Income_Statement!G5</f>
        <v>63.008157246081126</v>
      </c>
    </row>
    <row r="6" spans="1:3" x14ac:dyDescent="0.2">
      <c r="A6" t="s">
        <v>59</v>
      </c>
      <c r="B6" s="9">
        <f>Assumptions!B41</f>
        <v>12.27</v>
      </c>
    </row>
    <row r="7" spans="1:3" x14ac:dyDescent="0.2">
      <c r="A7" t="s">
        <v>60</v>
      </c>
      <c r="B7" s="10">
        <f>B5*B6</f>
        <v>773.11008940941542</v>
      </c>
    </row>
    <row r="9" spans="1:3" x14ac:dyDescent="0.2">
      <c r="A9" s="2" t="s">
        <v>61</v>
      </c>
    </row>
    <row r="10" spans="1:3" x14ac:dyDescent="0.2">
      <c r="A10" t="s">
        <v>62</v>
      </c>
      <c r="B10" s="5">
        <f>Debt_Schedule!G7</f>
        <v>149.39083802508253</v>
      </c>
    </row>
    <row r="11" spans="1:3" x14ac:dyDescent="0.2">
      <c r="A11" t="s">
        <v>63</v>
      </c>
      <c r="B11" s="5">
        <f>Debt_Schedule!G12</f>
        <v>98.209079999999986</v>
      </c>
    </row>
    <row r="12" spans="1:3" x14ac:dyDescent="0.2">
      <c r="A12" t="s">
        <v>64</v>
      </c>
      <c r="B12" s="5">
        <f>B10+B11</f>
        <v>247.5999180250825</v>
      </c>
    </row>
    <row r="14" spans="1:3" x14ac:dyDescent="0.2">
      <c r="A14" s="2" t="s">
        <v>65</v>
      </c>
      <c r="B14" s="10">
        <f>B7-B12</f>
        <v>525.51017138433292</v>
      </c>
    </row>
    <row r="16" spans="1:3" x14ac:dyDescent="0.2">
      <c r="A16" s="2" t="s">
        <v>66</v>
      </c>
      <c r="B16" s="5">
        <f>Assumptions!B19</f>
        <v>225.768</v>
      </c>
    </row>
    <row r="18" spans="1:2" x14ac:dyDescent="0.2">
      <c r="A18" s="2" t="s">
        <v>67</v>
      </c>
    </row>
    <row r="19" spans="1:2" ht="16" x14ac:dyDescent="0.2">
      <c r="A19" t="s">
        <v>68</v>
      </c>
      <c r="B19" s="11">
        <f>B14/B16</f>
        <v>2.3276556969292943</v>
      </c>
    </row>
    <row r="20" spans="1:2" ht="16" x14ac:dyDescent="0.2">
      <c r="A20" t="s">
        <v>69</v>
      </c>
      <c r="B20" s="12">
        <f>(B14/B16)^(1/5)-1</f>
        <v>0.18408736824239624</v>
      </c>
    </row>
    <row r="22" spans="1:2" x14ac:dyDescent="0.2">
      <c r="A22" s="2" t="s">
        <v>70</v>
      </c>
    </row>
    <row r="23" spans="1:2" x14ac:dyDescent="0.2">
      <c r="A23" t="s">
        <v>71</v>
      </c>
      <c r="B23" s="9">
        <f>Assumptions!B21</f>
        <v>7.3620000000000001</v>
      </c>
    </row>
    <row r="24" spans="1:2" x14ac:dyDescent="0.2">
      <c r="A24" t="s">
        <v>72</v>
      </c>
      <c r="B24" s="9">
        <f>B12/B5</f>
        <v>3.9296486176872327</v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purl.oclc.org/ooxml/officeDocument/extendedProperties" xmlns:vt="http://purl.oclc.org/ooxml/officeDocument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Assumptions</vt:lpstr>
      <vt:lpstr>Income_Statement</vt:lpstr>
      <vt:lpstr>Debt_Schedule</vt:lpstr>
      <vt:lpstr>Exit_Analysis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Hlib Papanov</cp:lastModifiedBy>
  <dcterms:created xsi:type="dcterms:W3CDTF">2026-09-18T11:25:48Z</dcterms:created>
  <dcterms:modified xsi:type="dcterms:W3CDTF">2026-09-19T11:57:37Z</dcterms:modified>
</cp:coreProperties>
</file>