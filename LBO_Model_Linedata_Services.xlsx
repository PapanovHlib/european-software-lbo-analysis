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3"/>
  </bookViews>
  <sheets>
    <sheet name="Assumptions" sheetId="1" state="visible" r:id="rId3"/>
    <sheet name="Income_Statement" sheetId="2" state="visible" r:id="rId4"/>
    <sheet name="Debt_Schedule" sheetId="3" state="visible" r:id="rId5"/>
    <sheet name="Exit_Analysi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<sst xmlns="http://schemas.openxmlformats.org/spreadsheetml/2006/main" count="121" uniqueCount="90">
  <si>
    <t xml:space="preserve">LBO MODEL - ASSUMPTIONS</t>
  </si>
  <si>
    <t xml:space="preserve">Company Name:</t>
  </si>
  <si>
    <t xml:space="preserve">Linedata Services S.A.</t>
  </si>
  <si>
    <t xml:space="preserve">Ticker:</t>
  </si>
  <si>
    <t xml:space="preserve">LIN</t>
  </si>
  <si>
    <t xml:space="preserve">YEAR 0 DATA (Current LTM)</t>
  </si>
  <si>
    <t xml:space="preserve">Current Revenue (LTM):</t>
  </si>
  <si>
    <t xml:space="preserve">$M</t>
  </si>
  <si>
    <t xml:space="preserve">Current EBITDA (LTM):</t>
  </si>
  <si>
    <t xml:space="preserve">Current EBITDA Margin:</t>
  </si>
  <si>
    <t xml:space="preserve">%</t>
  </si>
  <si>
    <t xml:space="preserve">Current Debt:</t>
  </si>
  <si>
    <t xml:space="preserve">ENTRY VALUATION</t>
  </si>
  <si>
    <t xml:space="preserve">Entry Multiple (EV/EBITDA):</t>
  </si>
  <si>
    <t xml:space="preserve">x</t>
  </si>
  <si>
    <t xml:space="preserve">Enterprise Value at Entry:</t>
  </si>
  <si>
    <t xml:space="preserve">CAPITAL STRUCTURE (40% Equity, 60% Debt)</t>
  </si>
  <si>
    <t xml:space="preserve">Sponsor Equity Investment in percent:</t>
  </si>
  <si>
    <t xml:space="preserve">Debt Investment in percent:</t>
  </si>
  <si>
    <t xml:space="preserve">Sponsor Equity Investment:</t>
  </si>
  <si>
    <t xml:space="preserve">Total Debt to Raise:</t>
  </si>
  <si>
    <t xml:space="preserve">Entry Leverage (Debt/EBITDA):</t>
  </si>
  <si>
    <t xml:space="preserve">x EBITDA</t>
  </si>
  <si>
    <t xml:space="preserve">Senior Debt (71% of total):</t>
  </si>
  <si>
    <t xml:space="preserve">Sub Debt (29% of total):</t>
  </si>
  <si>
    <t xml:space="preserve">DEBT RATES</t>
  </si>
  <si>
    <t xml:space="preserve">Senior Debt Rate:</t>
  </si>
  <si>
    <t xml:space="preserve">Sub Debt Rate:</t>
  </si>
  <si>
    <t xml:space="preserve">5-YEAR PROJECTIONS</t>
  </si>
  <si>
    <t xml:space="preserve">Revenue Growth Rate (Yr 1):</t>
  </si>
  <si>
    <t xml:space="preserve">Revenue Growth Rate (Yr 2):</t>
  </si>
  <si>
    <t xml:space="preserve">Revenue Growth Rate (Yr 3-5):</t>
  </si>
  <si>
    <t xml:space="preserve">EBITDA Margin (holds constant):</t>
  </si>
  <si>
    <t xml:space="preserve">D&amp;A % of Revenue:</t>
  </si>
  <si>
    <t xml:space="preserve">Tax Rate:</t>
  </si>
  <si>
    <t xml:space="preserve">FCF Sweep % (amount to debt paydown)</t>
  </si>
  <si>
    <t xml:space="preserve">Capital Expenditures (CapEx) as a percentage of Revenue</t>
  </si>
  <si>
    <t xml:space="preserve">Change in working capital %</t>
  </si>
  <si>
    <t xml:space="preserve">EXIT ASSUMPTIONS (YEAR 5)</t>
  </si>
  <si>
    <t xml:space="preserve">Exit Multiple (EV/EBITDA):</t>
  </si>
  <si>
    <t xml:space="preserve">5-YEAR INCOME STATEMENT</t>
  </si>
  <si>
    <t xml:space="preserve">Line Item</t>
  </si>
  <si>
    <t xml:space="preserve">Year 0</t>
  </si>
  <si>
    <t xml:space="preserve">Year 1</t>
  </si>
  <si>
    <t xml:space="preserve">Year 2</t>
  </si>
  <si>
    <t xml:space="preserve">Year 3</t>
  </si>
  <si>
    <t xml:space="preserve">Year 4</t>
  </si>
  <si>
    <t xml:space="preserve">Year 5</t>
  </si>
  <si>
    <t xml:space="preserve">Revenue</t>
  </si>
  <si>
    <t xml:space="preserve">EBITDA</t>
  </si>
  <si>
    <t xml:space="preserve">EBITDA Margin %</t>
  </si>
  <si>
    <t xml:space="preserve">D&amp;A</t>
  </si>
  <si>
    <t xml:space="preserve">EBIT (EBITDA - D&amp;A)</t>
  </si>
  <si>
    <t xml:space="preserve">Interest Expense - Senior</t>
  </si>
  <si>
    <t xml:space="preserve">Interest Expense - Sub</t>
  </si>
  <si>
    <t xml:space="preserve">Total Interest</t>
  </si>
  <si>
    <t xml:space="preserve">EBT (EBIT - Interest)</t>
  </si>
  <si>
    <t xml:space="preserve">Taxes </t>
  </si>
  <si>
    <t xml:space="preserve">Net Income</t>
  </si>
  <si>
    <t xml:space="preserve">Interest Paid</t>
  </si>
  <si>
    <t xml:space="preserve">CAPEX</t>
  </si>
  <si>
    <t xml:space="preserve">Change in Working Capital</t>
  </si>
  <si>
    <t xml:space="preserve">Taxes</t>
  </si>
  <si>
    <t xml:space="preserve">FCF</t>
  </si>
  <si>
    <t xml:space="preserve">DEBT PAYDOWN SCHEDULE</t>
  </si>
  <si>
    <t xml:space="preserve">SENIOR DEBT</t>
  </si>
  <si>
    <t xml:space="preserve">Beginning Balance</t>
  </si>
  <si>
    <t xml:space="preserve">Ending Balance</t>
  </si>
  <si>
    <t xml:space="preserve">SUBORDINATED DEBT</t>
  </si>
  <si>
    <t xml:space="preserve">TOTAL DEBT</t>
  </si>
  <si>
    <t xml:space="preserve">Total Debt</t>
  </si>
  <si>
    <t xml:space="preserve">Leverage Ratio (Debt/EBITDA)</t>
  </si>
  <si>
    <t xml:space="preserve">EXIT ANALYSIS &amp; RETURNS (YEAR 5)</t>
  </si>
  <si>
    <t xml:space="preserve">YEAR 5 VALUATION</t>
  </si>
  <si>
    <t xml:space="preserve">Year 5 Revenue</t>
  </si>
  <si>
    <t xml:space="preserve">Year 5 EBITDA</t>
  </si>
  <si>
    <t xml:space="preserve">Exit Multiple (EV/EBITDA)</t>
  </si>
  <si>
    <t xml:space="preserve">Exit Enterprise Value</t>
  </si>
  <si>
    <t xml:space="preserve">DEBT AT EXIT</t>
  </si>
  <si>
    <t xml:space="preserve">Senior Debt at Exit</t>
  </si>
  <si>
    <t xml:space="preserve">Sub Debt at Exit</t>
  </si>
  <si>
    <t xml:space="preserve">Total Debt at Exit</t>
  </si>
  <si>
    <t xml:space="preserve">EQUITY VALUE AT EXIT</t>
  </si>
  <si>
    <t xml:space="preserve">INITIAL EQUITY INVESTMENT</t>
  </si>
  <si>
    <t xml:space="preserve">RETURNS ANALYSIS</t>
  </si>
  <si>
    <t xml:space="preserve">Money Multiple (MOIC)</t>
  </si>
  <si>
    <t xml:space="preserve">IRR (%)</t>
  </si>
  <si>
    <t xml:space="preserve">LEVERAGE ANALYSIS</t>
  </si>
  <si>
    <t xml:space="preserve">Entry Leverage (Debt/EBITDA)</t>
  </si>
  <si>
    <t xml:space="preserve">Exit Leverage (Debt/EBITDA)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</si>
</sst>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0%"/>
    <numFmt numFmtId="166" formatCode="0.0%"/>
    <numFmt numFmtId="167" formatCode="General"/>
    <numFmt numFmtId="168" formatCode="0.00%"/>
    <numFmt numFmtId="169" formatCode="#,##0.0"/>
    <numFmt numFmtId="170" formatCode="0.00"/>
    <numFmt numFmtId="171" formatCode="0.0"/>
    <numFmt numFmtId="172" formatCode="0.0\x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Calibri"/>
      <family val="2"/>
      <charset val="1"/>
    </font>
    <font>
      <b val="true"/>
      <sz val="11"/>
      <name val="Calibri"/>
      <family val="2"/>
      <charset val="1"/>
    </font>
    <font>
      <b val="true"/>
      <sz val="12"/>
      <color rgb="FFFFFFFF"/>
      <name val="Calibri"/>
      <family val="2"/>
      <charset val="1"/>
    </font>
    <font>
      <b val="true"/>
      <sz val="11"/>
      <color rgb="FFFFFFFF"/>
      <name val="Calibri"/>
      <family val="2"/>
      <charset val="1"/>
    </font>
    <font>
      <b val="true"/>
      <sz val="12"/>
      <name val="Calibri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EB9C"/>
        <bgColor rgb="FFFFFFCC"/>
      </patternFill>
    </fill>
    <fill>
      <patternFill patternType="solid">
        <fgColor rgb="FFC6E0B4"/>
        <bgColor rgb="FFCCFFCC"/>
      </patternFill>
    </fill>
    <fill>
      <patternFill patternType="solid">
        <fgColor rgb="FFFFC7CE"/>
        <bgColor rgb="FFFFEB9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3" borderId="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0" fillId="4" borderId="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0" fillId="3" borderId="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4" borderId="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3" borderId="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8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6E0B4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1"/>
  <sheetViews>
    <sheetView showFormulas="false" showGridLines="true" showRowColHeaders="true" showZeros="true" rightToLeft="false" tabSelected="false" showOutlineSymbols="true" defaultGridColor="true" view="normal" topLeftCell="A23" colorId="64" zoomScale="141" zoomScaleNormal="141" zoomScalePageLayoutView="100" workbookViewId="0">
      <selection pane="topLeft" activeCell="B35" activeCellId="0" sqref="B35"/>
    </sheetView>
  </sheetViews>
  <sheetFormatPr defaultColWidth="8.8320312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7.33"/>
    <col collapsed="false" customWidth="true" hidden="false" outlineLevel="0" max="3" min="3" style="0" width="20"/>
  </cols>
  <sheetData>
    <row r="1" customFormat="false" ht="17.35" hidden="false" customHeight="false" outlineLevel="0" collapsed="false">
      <c r="A1" s="1" t="s">
        <v>0</v>
      </c>
      <c r="B1" s="1"/>
      <c r="C1" s="1"/>
    </row>
    <row r="3" customFormat="false" ht="15" hidden="false" customHeight="false" outlineLevel="0" collapsed="false">
      <c r="A3" s="0" t="s">
        <v>1</v>
      </c>
      <c r="B3" s="2" t="s">
        <v>2</v>
      </c>
    </row>
    <row r="4" customFormat="false" ht="15" hidden="false" customHeight="false" outlineLevel="0" collapsed="false">
      <c r="A4" s="0" t="s">
        <v>3</v>
      </c>
      <c r="B4" s="2" t="s">
        <v>4</v>
      </c>
    </row>
    <row r="6" customFormat="false" ht="15" hidden="false" customHeight="false" outlineLevel="0" collapsed="false">
      <c r="A6" s="3" t="s">
        <v>5</v>
      </c>
    </row>
    <row r="7" customFormat="false" ht="15" hidden="false" customHeight="false" outlineLevel="0" collapsed="false">
      <c r="A7" s="0" t="s">
        <v>6</v>
      </c>
      <c r="B7" s="2" t="n">
        <v>189</v>
      </c>
      <c r="C7" s="4" t="s">
        <v>7</v>
      </c>
    </row>
    <row r="8" customFormat="false" ht="15" hidden="false" customHeight="false" outlineLevel="0" collapsed="false">
      <c r="A8" s="0" t="s">
        <v>8</v>
      </c>
      <c r="B8" s="2" t="n">
        <v>30.7</v>
      </c>
      <c r="C8" s="4" t="s">
        <v>7</v>
      </c>
    </row>
    <row r="9" customFormat="false" ht="15" hidden="false" customHeight="false" outlineLevel="0" collapsed="false">
      <c r="A9" s="0" t="s">
        <v>9</v>
      </c>
      <c r="B9" s="5" t="n">
        <v>0.162</v>
      </c>
      <c r="C9" s="4" t="s">
        <v>10</v>
      </c>
    </row>
    <row r="10" customFormat="false" ht="15" hidden="false" customHeight="false" outlineLevel="0" collapsed="false">
      <c r="A10" s="0" t="s">
        <v>11</v>
      </c>
      <c r="B10" s="2" t="n">
        <v>109.3</v>
      </c>
      <c r="C10" s="4" t="s">
        <v>7</v>
      </c>
    </row>
    <row r="12" customFormat="false" ht="15" hidden="false" customHeight="false" outlineLevel="0" collapsed="false">
      <c r="A12" s="3" t="s">
        <v>12</v>
      </c>
    </row>
    <row r="13" customFormat="false" ht="15" hidden="false" customHeight="false" outlineLevel="0" collapsed="false">
      <c r="A13" s="0" t="s">
        <v>13</v>
      </c>
      <c r="B13" s="2" t="n">
        <v>11.69</v>
      </c>
      <c r="C13" s="4" t="s">
        <v>14</v>
      </c>
    </row>
    <row r="14" customFormat="false" ht="15" hidden="false" customHeight="false" outlineLevel="0" collapsed="false">
      <c r="A14" s="0" t="s">
        <v>15</v>
      </c>
      <c r="B14" s="6" t="n">
        <f aca="false">B8*B13</f>
        <v>358.883</v>
      </c>
      <c r="C14" s="4" t="s">
        <v>7</v>
      </c>
    </row>
    <row r="16" customFormat="false" ht="15" hidden="false" customHeight="false" outlineLevel="0" collapsed="false">
      <c r="A16" s="3" t="s">
        <v>16</v>
      </c>
    </row>
    <row r="17" customFormat="false" ht="15" hidden="false" customHeight="false" outlineLevel="0" collapsed="false">
      <c r="A17" s="0" t="s">
        <v>17</v>
      </c>
      <c r="B17" s="7" t="n">
        <v>0.4</v>
      </c>
      <c r="C17" s="4" t="s">
        <v>10</v>
      </c>
    </row>
    <row r="18" customFormat="false" ht="15" hidden="false" customHeight="false" outlineLevel="0" collapsed="false">
      <c r="A18" s="0" t="s">
        <v>18</v>
      </c>
      <c r="B18" s="7" t="n">
        <f aca="false">1-B17</f>
        <v>0.6</v>
      </c>
      <c r="C18" s="4" t="s">
        <v>10</v>
      </c>
    </row>
    <row r="19" customFormat="false" ht="15" hidden="false" customHeight="false" outlineLevel="0" collapsed="false">
      <c r="A19" s="0" t="s">
        <v>19</v>
      </c>
      <c r="B19" s="6" t="n">
        <f aca="false">B14*B17</f>
        <v>143.5532</v>
      </c>
      <c r="C19" s="4" t="s">
        <v>7</v>
      </c>
    </row>
    <row r="20" customFormat="false" ht="15" hidden="false" customHeight="false" outlineLevel="0" collapsed="false">
      <c r="A20" s="0" t="s">
        <v>20</v>
      </c>
      <c r="B20" s="6" t="n">
        <f aca="false">B14*B18</f>
        <v>215.3298</v>
      </c>
      <c r="C20" s="4" t="s">
        <v>7</v>
      </c>
    </row>
    <row r="21" customFormat="false" ht="15" hidden="false" customHeight="false" outlineLevel="0" collapsed="false">
      <c r="A21" s="0" t="s">
        <v>21</v>
      </c>
      <c r="B21" s="6" t="n">
        <f aca="false">B20/B8</f>
        <v>7.014</v>
      </c>
      <c r="C21" s="4" t="s">
        <v>22</v>
      </c>
    </row>
    <row r="22" customFormat="false" ht="15" hidden="false" customHeight="false" outlineLevel="0" collapsed="false">
      <c r="A22" s="0" t="s">
        <v>23</v>
      </c>
      <c r="B22" s="6" t="n">
        <f aca="false">B20*0.71</f>
        <v>152.884158</v>
      </c>
      <c r="C22" s="4" t="s">
        <v>7</v>
      </c>
    </row>
    <row r="23" customFormat="false" ht="15" hidden="false" customHeight="false" outlineLevel="0" collapsed="false">
      <c r="A23" s="0" t="s">
        <v>24</v>
      </c>
      <c r="B23" s="6" t="n">
        <f aca="false">B20*0.29</f>
        <v>62.445642</v>
      </c>
      <c r="C23" s="4" t="s">
        <v>7</v>
      </c>
    </row>
    <row r="25" customFormat="false" ht="15" hidden="false" customHeight="false" outlineLevel="0" collapsed="false">
      <c r="A25" s="3" t="s">
        <v>25</v>
      </c>
    </row>
    <row r="26" customFormat="false" ht="15" hidden="false" customHeight="false" outlineLevel="0" collapsed="false">
      <c r="A26" s="0" t="s">
        <v>26</v>
      </c>
      <c r="B26" s="8" t="n">
        <v>0.063</v>
      </c>
      <c r="C26" s="4" t="s">
        <v>10</v>
      </c>
    </row>
    <row r="27" customFormat="false" ht="15" hidden="false" customHeight="false" outlineLevel="0" collapsed="false">
      <c r="A27" s="0" t="s">
        <v>27</v>
      </c>
      <c r="B27" s="8" t="n">
        <v>0.0885</v>
      </c>
      <c r="C27" s="4" t="s">
        <v>10</v>
      </c>
    </row>
    <row r="29" customFormat="false" ht="15" hidden="false" customHeight="false" outlineLevel="0" collapsed="false">
      <c r="A29" s="3" t="s">
        <v>28</v>
      </c>
    </row>
    <row r="30" customFormat="false" ht="15" hidden="false" customHeight="false" outlineLevel="0" collapsed="false">
      <c r="A30" s="0" t="s">
        <v>29</v>
      </c>
      <c r="B30" s="9" t="n">
        <v>0.0265</v>
      </c>
      <c r="C30" s="4" t="s">
        <v>10</v>
      </c>
    </row>
    <row r="31" customFormat="false" ht="15" hidden="false" customHeight="false" outlineLevel="0" collapsed="false">
      <c r="A31" s="0" t="s">
        <v>30</v>
      </c>
      <c r="B31" s="9" t="n">
        <v>0.0302</v>
      </c>
      <c r="C31" s="4" t="s">
        <v>10</v>
      </c>
    </row>
    <row r="32" customFormat="false" ht="15" hidden="false" customHeight="false" outlineLevel="0" collapsed="false">
      <c r="A32" s="0" t="s">
        <v>31</v>
      </c>
      <c r="B32" s="8" t="n">
        <f aca="false">AVERAGE(B30:B31)</f>
        <v>0.02835</v>
      </c>
      <c r="C32" s="4" t="s">
        <v>10</v>
      </c>
    </row>
    <row r="33" customFormat="false" ht="15" hidden="false" customHeight="false" outlineLevel="0" collapsed="false">
      <c r="A33" s="0" t="s">
        <v>32</v>
      </c>
      <c r="B33" s="10" t="n">
        <f aca="false">B9</f>
        <v>0.162</v>
      </c>
      <c r="C33" s="4" t="s">
        <v>10</v>
      </c>
    </row>
    <row r="34" customFormat="false" ht="15" hidden="false" customHeight="false" outlineLevel="0" collapsed="false">
      <c r="A34" s="0" t="s">
        <v>33</v>
      </c>
      <c r="B34" s="9" t="n">
        <v>0.0804</v>
      </c>
      <c r="C34" s="4" t="s">
        <v>10</v>
      </c>
    </row>
    <row r="35" customFormat="false" ht="15" hidden="false" customHeight="false" outlineLevel="0" collapsed="false">
      <c r="A35" s="0" t="s">
        <v>34</v>
      </c>
      <c r="B35" s="5" t="n">
        <v>0.275</v>
      </c>
      <c r="C35" s="4" t="s">
        <v>10</v>
      </c>
    </row>
    <row r="36" customFormat="false" ht="15" hidden="false" customHeight="false" outlineLevel="0" collapsed="false">
      <c r="A36" s="0" t="s">
        <v>35</v>
      </c>
      <c r="B36" s="11" t="n">
        <v>0.75</v>
      </c>
      <c r="C36" s="4" t="s">
        <v>10</v>
      </c>
    </row>
    <row r="37" customFormat="false" ht="15" hidden="false" customHeight="false" outlineLevel="0" collapsed="false">
      <c r="A37" s="0" t="s">
        <v>36</v>
      </c>
      <c r="B37" s="11" t="n">
        <v>0.02</v>
      </c>
      <c r="C37" s="4" t="s">
        <v>10</v>
      </c>
    </row>
    <row r="38" customFormat="false" ht="15" hidden="false" customHeight="false" outlineLevel="0" collapsed="false">
      <c r="A38" s="0" t="s">
        <v>37</v>
      </c>
      <c r="B38" s="11" t="n">
        <v>0</v>
      </c>
      <c r="C38" s="4" t="s">
        <v>10</v>
      </c>
    </row>
    <row r="40" customFormat="false" ht="15" hidden="false" customHeight="false" outlineLevel="0" collapsed="false">
      <c r="A40" s="3" t="s">
        <v>38</v>
      </c>
    </row>
    <row r="41" customFormat="false" ht="15" hidden="false" customHeight="false" outlineLevel="0" collapsed="false">
      <c r="A41" s="0" t="s">
        <v>39</v>
      </c>
      <c r="B41" s="6" t="n">
        <f aca="false">B13</f>
        <v>11.69</v>
      </c>
      <c r="C41" s="4" t="s">
        <v>14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2"/>
  <sheetViews>
    <sheetView showFormulas="false" showGridLines="true" showRowColHeaders="true" showZeros="true" rightToLeft="false" tabSelected="false" showOutlineSymbols="true" defaultGridColor="true" view="normal" topLeftCell="A4" colorId="64" zoomScale="164" zoomScaleNormal="164" zoomScalePageLayoutView="100" workbookViewId="0">
      <selection pane="topLeft" activeCell="C18" activeCellId="0" sqref="C18"/>
    </sheetView>
  </sheetViews>
  <sheetFormatPr defaultColWidth="8.8320312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7" min="2" style="0" width="13"/>
  </cols>
  <sheetData>
    <row r="1" customFormat="false" ht="15" hidden="false" customHeight="false" outlineLevel="0" collapsed="false">
      <c r="A1" s="12" t="s">
        <v>40</v>
      </c>
      <c r="B1" s="12"/>
      <c r="C1" s="12"/>
      <c r="D1" s="12"/>
      <c r="E1" s="12"/>
      <c r="F1" s="12"/>
      <c r="G1" s="12"/>
    </row>
    <row r="3" customFormat="false" ht="15" hidden="false" customHeight="false" outlineLevel="0" collapsed="false">
      <c r="A3" s="13" t="s">
        <v>41</v>
      </c>
      <c r="B3" s="13" t="s">
        <v>42</v>
      </c>
      <c r="C3" s="13" t="s">
        <v>43</v>
      </c>
      <c r="D3" s="13" t="s">
        <v>44</v>
      </c>
      <c r="E3" s="13" t="s">
        <v>45</v>
      </c>
      <c r="F3" s="13" t="s">
        <v>46</v>
      </c>
      <c r="G3" s="13" t="s">
        <v>47</v>
      </c>
    </row>
    <row r="4" customFormat="false" ht="15" hidden="false" customHeight="false" outlineLevel="0" collapsed="false">
      <c r="A4" s="0" t="s">
        <v>48</v>
      </c>
      <c r="B4" s="14" t="n">
        <f aca="false">Assumptions!B7</f>
        <v>189</v>
      </c>
      <c r="C4" s="14" t="n">
        <f aca="false">B4*(1+Assumptions!B30)</f>
        <v>194.0085</v>
      </c>
      <c r="D4" s="14" t="n">
        <f aca="false">C4*(1+Assumptions!B31)</f>
        <v>199.8675567</v>
      </c>
      <c r="E4" s="14" t="n">
        <f aca="false">D4*(1+Assumptions!B32)</f>
        <v>205.533801932445</v>
      </c>
      <c r="F4" s="14" t="n">
        <f aca="false">E4*(1+Assumptions!B32)</f>
        <v>211.36068521723</v>
      </c>
      <c r="G4" s="14" t="n">
        <f aca="false">F4*(1+Assumptions!B32)</f>
        <v>217.352760643138</v>
      </c>
    </row>
    <row r="5" customFormat="false" ht="15" hidden="false" customHeight="false" outlineLevel="0" collapsed="false">
      <c r="A5" s="0" t="s">
        <v>49</v>
      </c>
      <c r="B5" s="14" t="n">
        <f aca="false">B4*Assumptions!$B$33</f>
        <v>30.618</v>
      </c>
      <c r="C5" s="14" t="n">
        <f aca="false">C4*Assumptions!$B$33</f>
        <v>31.429377</v>
      </c>
      <c r="D5" s="14" t="n">
        <f aca="false">D4*Assumptions!$B$33</f>
        <v>32.3785441854</v>
      </c>
      <c r="E5" s="14" t="n">
        <f aca="false">E4*Assumptions!$B$33</f>
        <v>33.2964759130561</v>
      </c>
      <c r="F5" s="14" t="n">
        <f aca="false">F4*Assumptions!$B$33</f>
        <v>34.2404310051912</v>
      </c>
      <c r="G5" s="14" t="n">
        <f aca="false">G4*Assumptions!$B$33</f>
        <v>35.2111472241884</v>
      </c>
    </row>
    <row r="6" customFormat="false" ht="15" hidden="false" customHeight="false" outlineLevel="0" collapsed="false">
      <c r="A6" s="0" t="s">
        <v>50</v>
      </c>
      <c r="B6" s="15" t="n">
        <f aca="false">B5/B4</f>
        <v>0.162</v>
      </c>
      <c r="C6" s="15" t="n">
        <f aca="false">C5/C4</f>
        <v>0.162</v>
      </c>
      <c r="D6" s="15" t="n">
        <f aca="false">D5/D4</f>
        <v>0.162</v>
      </c>
      <c r="E6" s="15" t="n">
        <f aca="false">E5/E4</f>
        <v>0.162</v>
      </c>
      <c r="F6" s="15" t="n">
        <f aca="false">F5/F4</f>
        <v>0.162</v>
      </c>
      <c r="G6" s="15" t="n">
        <f aca="false">G5/G4</f>
        <v>0.162</v>
      </c>
    </row>
    <row r="7" customFormat="false" ht="15" hidden="false" customHeight="false" outlineLevel="0" collapsed="false">
      <c r="A7" s="0" t="s">
        <v>51</v>
      </c>
      <c r="B7" s="14" t="n">
        <f aca="false">B4*Assumptions!$B$34</f>
        <v>15.1956</v>
      </c>
      <c r="C7" s="14" t="n">
        <f aca="false">C4*Assumptions!$B$34</f>
        <v>15.5982834</v>
      </c>
      <c r="D7" s="14" t="n">
        <f aca="false">D4*Assumptions!$B$34</f>
        <v>16.06935155868</v>
      </c>
      <c r="E7" s="14" t="n">
        <f aca="false">E4*Assumptions!$B$34</f>
        <v>16.5249176753686</v>
      </c>
      <c r="F7" s="14" t="n">
        <f aca="false">F4*Assumptions!$B$34</f>
        <v>16.9933990914653</v>
      </c>
      <c r="G7" s="14" t="n">
        <f aca="false">G4*Assumptions!$B$34</f>
        <v>17.4751619557083</v>
      </c>
    </row>
    <row r="8" customFormat="false" ht="15" hidden="false" customHeight="false" outlineLevel="0" collapsed="false">
      <c r="A8" s="0" t="s">
        <v>52</v>
      </c>
      <c r="B8" s="14" t="n">
        <f aca="false">B5-B7</f>
        <v>15.4224</v>
      </c>
      <c r="C8" s="14" t="n">
        <f aca="false">C5-C7</f>
        <v>15.8310936</v>
      </c>
      <c r="D8" s="14" t="n">
        <f aca="false">D5-D7</f>
        <v>16.30919262672</v>
      </c>
      <c r="E8" s="14" t="n">
        <f aca="false">E5-E7</f>
        <v>16.7715582376875</v>
      </c>
      <c r="F8" s="14" t="n">
        <f aca="false">F5-F7</f>
        <v>17.247031913726</v>
      </c>
      <c r="G8" s="14" t="n">
        <f aca="false">G5-G7</f>
        <v>17.7359852684801</v>
      </c>
    </row>
    <row r="10" customFormat="false" ht="15" hidden="false" customHeight="false" outlineLevel="0" collapsed="false">
      <c r="A10" s="0" t="s">
        <v>53</v>
      </c>
      <c r="B10" s="14" t="n">
        <f aca="false">Debt_Schedule!B6*Assumptions!$B$26</f>
        <v>9.631701954</v>
      </c>
      <c r="C10" s="14" t="n">
        <f aca="false">Debt_Schedule!C6*Assumptions!$B$26</f>
        <v>9.631701954</v>
      </c>
      <c r="D10" s="14" t="n">
        <f aca="false">Debt_Schedule!D6*Assumptions!$B$26</f>
        <v>9.05496827262969</v>
      </c>
      <c r="E10" s="14" t="n">
        <f aca="false">Debt_Schedule!E6*Assumptions!$B$26</f>
        <v>8.42537881638674</v>
      </c>
      <c r="F10" s="14" t="n">
        <f aca="false">Debt_Schedule!F6*Assumptions!$B$26</f>
        <v>7.74221217710378</v>
      </c>
      <c r="G10" s="14" t="n">
        <f aca="false">Debt_Schedule!G6*Assumptions!$B$26</f>
        <v>7.00272552331265</v>
      </c>
    </row>
    <row r="11" customFormat="false" ht="15" hidden="false" customHeight="false" outlineLevel="0" collapsed="false">
      <c r="A11" s="0" t="s">
        <v>54</v>
      </c>
      <c r="B11" s="14" t="n">
        <f aca="false">Debt_Schedule!B11*Assumptions!$B$27</f>
        <v>5.526439317</v>
      </c>
      <c r="C11" s="14" t="n">
        <f aca="false">Debt_Schedule!C11*Assumptions!$B$27</f>
        <v>5.526439317</v>
      </c>
      <c r="D11" s="14" t="n">
        <f aca="false">Debt_Schedule!D11*Assumptions!$B$27</f>
        <v>5.526439317</v>
      </c>
      <c r="E11" s="14" t="n">
        <f aca="false">Debt_Schedule!E11*Assumptions!$B$27</f>
        <v>5.526439317</v>
      </c>
      <c r="F11" s="14" t="n">
        <f aca="false">Debt_Schedule!F11*Assumptions!$B$27</f>
        <v>5.526439317</v>
      </c>
      <c r="G11" s="14" t="n">
        <f aca="false">Debt_Schedule!G11*Assumptions!$B$27</f>
        <v>5.526439317</v>
      </c>
    </row>
    <row r="12" customFormat="false" ht="15" hidden="false" customHeight="false" outlineLevel="0" collapsed="false">
      <c r="A12" s="0" t="s">
        <v>55</v>
      </c>
      <c r="B12" s="14" t="n">
        <f aca="false">B10+B11</f>
        <v>15.158141271</v>
      </c>
      <c r="C12" s="14" t="n">
        <f aca="false">C10+C11</f>
        <v>15.158141271</v>
      </c>
      <c r="D12" s="14" t="n">
        <f aca="false">D10+D11</f>
        <v>14.5814075896297</v>
      </c>
      <c r="E12" s="14" t="n">
        <f aca="false">E10+E11</f>
        <v>13.9518181333867</v>
      </c>
      <c r="F12" s="14" t="n">
        <f aca="false">F10+F11</f>
        <v>13.2686514941038</v>
      </c>
      <c r="G12" s="14" t="n">
        <f aca="false">G10+G11</f>
        <v>12.5291648403126</v>
      </c>
    </row>
    <row r="13" customFormat="false" ht="15" hidden="false" customHeight="false" outlineLevel="0" collapsed="false">
      <c r="A13" s="0" t="s">
        <v>56</v>
      </c>
      <c r="B13" s="14" t="n">
        <f aca="false">B8-B12</f>
        <v>0.264258729000003</v>
      </c>
      <c r="C13" s="14" t="n">
        <f aca="false">C8-C12</f>
        <v>0.672952329000005</v>
      </c>
      <c r="D13" s="14" t="n">
        <f aca="false">D8-D12</f>
        <v>1.72778503709031</v>
      </c>
      <c r="E13" s="14" t="n">
        <f aca="false">E8-E12</f>
        <v>2.81974010430078</v>
      </c>
      <c r="F13" s="14" t="n">
        <f aca="false">F8-F12</f>
        <v>3.97838041962218</v>
      </c>
      <c r="G13" s="14" t="n">
        <f aca="false">G8-G12</f>
        <v>5.20682042816744</v>
      </c>
    </row>
    <row r="14" customFormat="false" ht="15" hidden="false" customHeight="false" outlineLevel="0" collapsed="false">
      <c r="A14" s="0" t="s">
        <v>57</v>
      </c>
      <c r="B14" s="14" t="n">
        <f aca="false">B13*Assumptions!$B$35</f>
        <v>0.0726711504750009</v>
      </c>
      <c r="C14" s="14" t="n">
        <f aca="false">C13*Assumptions!$B$35</f>
        <v>0.185061890475001</v>
      </c>
      <c r="D14" s="14" t="n">
        <f aca="false">D13*Assumptions!$B$35</f>
        <v>0.475140885199835</v>
      </c>
      <c r="E14" s="14" t="n">
        <f aca="false">E13*Assumptions!$B$35</f>
        <v>0.775428528682714</v>
      </c>
      <c r="F14" s="14" t="n">
        <f aca="false">F13*Assumptions!$B$35</f>
        <v>1.0940546153961</v>
      </c>
      <c r="G14" s="14" t="n">
        <f aca="false">G13*Assumptions!$B$35</f>
        <v>1.43187561774605</v>
      </c>
    </row>
    <row r="15" customFormat="false" ht="15" hidden="false" customHeight="false" outlineLevel="0" collapsed="false">
      <c r="A15" s="0" t="s">
        <v>58</v>
      </c>
      <c r="B15" s="16" t="n">
        <f aca="false">B13-B14</f>
        <v>0.191587578525002</v>
      </c>
      <c r="C15" s="16" t="n">
        <f aca="false">C13-C14</f>
        <v>0.487890438525003</v>
      </c>
      <c r="D15" s="16" t="n">
        <f aca="false">D13-D14</f>
        <v>1.25264415189047</v>
      </c>
      <c r="E15" s="16" t="n">
        <f aca="false">E13-E14</f>
        <v>2.04431157561806</v>
      </c>
      <c r="F15" s="16" t="n">
        <f aca="false">F13-F14</f>
        <v>2.88432580422608</v>
      </c>
      <c r="G15" s="16" t="n">
        <f aca="false">G13-G14</f>
        <v>3.77494481042139</v>
      </c>
    </row>
    <row r="17" customFormat="false" ht="15" hidden="false" customHeight="false" outlineLevel="0" collapsed="false">
      <c r="A17" s="0" t="s">
        <v>59</v>
      </c>
      <c r="B17" s="14" t="n">
        <f aca="false">B12</f>
        <v>15.158141271</v>
      </c>
      <c r="C17" s="14" t="n">
        <f aca="false">C12</f>
        <v>15.158141271</v>
      </c>
      <c r="D17" s="14" t="n">
        <f aca="false">D12</f>
        <v>14.5814075896297</v>
      </c>
      <c r="E17" s="14" t="n">
        <f aca="false">E12</f>
        <v>13.9518181333867</v>
      </c>
      <c r="F17" s="14" t="n">
        <f aca="false">F12</f>
        <v>13.2686514941038</v>
      </c>
      <c r="G17" s="14" t="n">
        <f aca="false">G12</f>
        <v>12.5291648403126</v>
      </c>
    </row>
    <row r="18" customFormat="false" ht="15" hidden="false" customHeight="false" outlineLevel="0" collapsed="false">
      <c r="A18" s="0" t="s">
        <v>60</v>
      </c>
      <c r="B18" s="17" t="n">
        <f aca="false">B4*Assumptions!$B$37</f>
        <v>3.78</v>
      </c>
      <c r="C18" s="17" t="n">
        <f aca="false">C4*Assumptions!$B$37</f>
        <v>3.88017</v>
      </c>
      <c r="D18" s="17" t="n">
        <f aca="false">D4*Assumptions!$B$37</f>
        <v>3.997351134</v>
      </c>
      <c r="E18" s="17" t="n">
        <f aca="false">E4*Assumptions!$B$37</f>
        <v>4.1106760386489</v>
      </c>
      <c r="F18" s="17" t="n">
        <f aca="false">F4*Assumptions!$B$37</f>
        <v>4.2272137043446</v>
      </c>
      <c r="G18" s="17" t="n">
        <f aca="false">G4*Assumptions!$B$37</f>
        <v>4.34705521286277</v>
      </c>
    </row>
    <row r="19" customFormat="false" ht="15" hidden="false" customHeight="false" outlineLevel="0" collapsed="false">
      <c r="A19" s="0" t="s">
        <v>61</v>
      </c>
      <c r="B19" s="0" t="n">
        <f aca="false">B4*Assumptions!$B$38</f>
        <v>0</v>
      </c>
      <c r="C19" s="0" t="n">
        <f aca="false">C4*Assumptions!$B$38</f>
        <v>0</v>
      </c>
      <c r="D19" s="0" t="n">
        <f aca="false">D4*Assumptions!$B$38</f>
        <v>0</v>
      </c>
      <c r="E19" s="0" t="n">
        <f aca="false">E4*Assumptions!$B$38</f>
        <v>0</v>
      </c>
      <c r="F19" s="0" t="n">
        <f aca="false">F4*Assumptions!$B$38</f>
        <v>0</v>
      </c>
      <c r="G19" s="0" t="n">
        <f aca="false">G4*Assumptions!$B$38</f>
        <v>0</v>
      </c>
    </row>
    <row r="20" customFormat="false" ht="15" hidden="false" customHeight="false" outlineLevel="0" collapsed="false">
      <c r="A20" s="0" t="s">
        <v>62</v>
      </c>
      <c r="B20" s="14" t="n">
        <f aca="false">B14</f>
        <v>0.0726711504750009</v>
      </c>
      <c r="C20" s="14" t="n">
        <f aca="false">C14</f>
        <v>0.185061890475001</v>
      </c>
      <c r="D20" s="14" t="n">
        <f aca="false">D14</f>
        <v>0.475140885199835</v>
      </c>
      <c r="E20" s="14" t="n">
        <f aca="false">E14</f>
        <v>0.775428528682714</v>
      </c>
      <c r="F20" s="14" t="n">
        <f aca="false">F14</f>
        <v>1.0940546153961</v>
      </c>
      <c r="G20" s="14" t="n">
        <f aca="false">G14</f>
        <v>1.43187561774605</v>
      </c>
    </row>
    <row r="21" customFormat="false" ht="15" hidden="false" customHeight="false" outlineLevel="0" collapsed="false">
      <c r="A21" s="0" t="s">
        <v>49</v>
      </c>
      <c r="B21" s="14" t="n">
        <f aca="false">B5</f>
        <v>30.618</v>
      </c>
      <c r="C21" s="14" t="n">
        <f aca="false">C5</f>
        <v>31.429377</v>
      </c>
      <c r="D21" s="14" t="n">
        <f aca="false">D5</f>
        <v>32.3785441854</v>
      </c>
      <c r="E21" s="14" t="n">
        <f aca="false">E5</f>
        <v>33.2964759130561</v>
      </c>
      <c r="F21" s="14" t="n">
        <f aca="false">F5</f>
        <v>34.2404310051912</v>
      </c>
      <c r="G21" s="14" t="n">
        <f aca="false">G5</f>
        <v>35.2111472241884</v>
      </c>
    </row>
    <row r="22" customFormat="false" ht="15" hidden="false" customHeight="false" outlineLevel="0" collapsed="false">
      <c r="A22" s="0" t="s">
        <v>63</v>
      </c>
      <c r="B22" s="14" t="n">
        <f aca="false">B21-B20-B19-B18-B17</f>
        <v>11.607187578525</v>
      </c>
      <c r="C22" s="14" t="n">
        <f aca="false">C21-C20-C19-C18-C17</f>
        <v>12.206003838525</v>
      </c>
      <c r="D22" s="14" t="n">
        <f aca="false">D21-D20-D19-D18-D17</f>
        <v>13.3246445765705</v>
      </c>
      <c r="E22" s="14" t="n">
        <f aca="false">E21-E20-E19-E18-E17</f>
        <v>14.4585532123377</v>
      </c>
      <c r="F22" s="14" t="n">
        <f aca="false">F21-F20-F19-F18-F17</f>
        <v>15.6505111913468</v>
      </c>
      <c r="G22" s="14" t="n">
        <f aca="false">G21-G20-G19-G18-G17</f>
        <v>16.903051553267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7" activeCellId="0" sqref="C7"/>
    </sheetView>
  </sheetViews>
  <sheetFormatPr defaultColWidth="8.8320312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7" min="2" style="0" width="13"/>
  </cols>
  <sheetData>
    <row r="1" customFormat="false" ht="15" hidden="false" customHeight="false" outlineLevel="0" collapsed="false">
      <c r="A1" s="12" t="s">
        <v>64</v>
      </c>
      <c r="B1" s="12"/>
      <c r="C1" s="12"/>
      <c r="D1" s="12"/>
      <c r="E1" s="12"/>
      <c r="F1" s="12"/>
      <c r="G1" s="12"/>
    </row>
    <row r="3" customFormat="false" ht="15" hidden="false" customHeight="false" outlineLevel="0" collapsed="false">
      <c r="A3" s="13" t="s">
        <v>41</v>
      </c>
      <c r="B3" s="13" t="s">
        <v>42</v>
      </c>
      <c r="C3" s="13" t="s">
        <v>43</v>
      </c>
      <c r="D3" s="13" t="s">
        <v>44</v>
      </c>
      <c r="E3" s="13" t="s">
        <v>45</v>
      </c>
      <c r="F3" s="13" t="s">
        <v>46</v>
      </c>
      <c r="G3" s="13" t="s">
        <v>47</v>
      </c>
    </row>
    <row r="5" customFormat="false" ht="15" hidden="false" customHeight="false" outlineLevel="0" collapsed="false">
      <c r="A5" s="3" t="s">
        <v>65</v>
      </c>
    </row>
    <row r="6" customFormat="false" ht="15" hidden="false" customHeight="false" outlineLevel="0" collapsed="false">
      <c r="A6" s="0" t="s">
        <v>66</v>
      </c>
      <c r="B6" s="18" t="n">
        <f aca="false">Assumptions!B22</f>
        <v>152.884158</v>
      </c>
      <c r="C6" s="18" t="n">
        <f aca="false">B7</f>
        <v>152.884158</v>
      </c>
      <c r="D6" s="18" t="n">
        <f aca="false">C7</f>
        <v>143.729655121106</v>
      </c>
      <c r="E6" s="18" t="n">
        <f aca="false">D7</f>
        <v>133.736171688678</v>
      </c>
      <c r="F6" s="18" t="n">
        <f aca="false">E7</f>
        <v>122.892256779425</v>
      </c>
      <c r="G6" s="18" t="n">
        <f aca="false">F7</f>
        <v>111.154373385915</v>
      </c>
    </row>
    <row r="7" customFormat="false" ht="15" hidden="false" customHeight="false" outlineLevel="0" collapsed="false">
      <c r="A7" s="0" t="s">
        <v>67</v>
      </c>
      <c r="B7" s="18" t="n">
        <f aca="false">B6</f>
        <v>152.884158</v>
      </c>
      <c r="C7" s="18" t="n">
        <f aca="false">B7-Income_Statement!C22*Assumptions!$B$36</f>
        <v>143.729655121106</v>
      </c>
      <c r="D7" s="18" t="n">
        <f aca="false">C7-Income_Statement!D22*Assumptions!$B$36</f>
        <v>133.736171688678</v>
      </c>
      <c r="E7" s="18" t="n">
        <f aca="false">D7-Income_Statement!E22*Assumptions!$B$36</f>
        <v>122.892256779425</v>
      </c>
      <c r="F7" s="18" t="n">
        <f aca="false">E7-Income_Statement!F22*Assumptions!$B$36</f>
        <v>111.154373385915</v>
      </c>
      <c r="G7" s="18" t="n">
        <f aca="false">F7-Income_Statement!G22*Assumptions!$B$36</f>
        <v>98.4770847209648</v>
      </c>
    </row>
    <row r="8" customFormat="false" ht="15" hidden="false" customHeight="false" outlineLevel="0" collapsed="false">
      <c r="B8" s="18"/>
      <c r="C8" s="18"/>
      <c r="D8" s="18"/>
      <c r="E8" s="18"/>
      <c r="F8" s="18"/>
      <c r="G8" s="18"/>
    </row>
    <row r="9" customFormat="false" ht="15" hidden="false" customHeight="false" outlineLevel="0" collapsed="false">
      <c r="B9" s="18"/>
      <c r="C9" s="18"/>
      <c r="D9" s="18"/>
      <c r="E9" s="18"/>
      <c r="F9" s="18"/>
      <c r="G9" s="18"/>
    </row>
    <row r="10" customFormat="false" ht="15" hidden="false" customHeight="false" outlineLevel="0" collapsed="false">
      <c r="A10" s="3" t="s">
        <v>68</v>
      </c>
      <c r="B10" s="18"/>
      <c r="C10" s="18"/>
      <c r="D10" s="18"/>
      <c r="E10" s="18"/>
      <c r="F10" s="18"/>
      <c r="G10" s="18"/>
    </row>
    <row r="11" customFormat="false" ht="15" hidden="false" customHeight="false" outlineLevel="0" collapsed="false">
      <c r="A11" s="0" t="s">
        <v>66</v>
      </c>
      <c r="B11" s="18" t="n">
        <f aca="false">Assumptions!B23</f>
        <v>62.445642</v>
      </c>
      <c r="C11" s="18" t="n">
        <f aca="false">B12</f>
        <v>62.445642</v>
      </c>
      <c r="D11" s="18" t="n">
        <f aca="false">C12</f>
        <v>62.445642</v>
      </c>
      <c r="E11" s="18" t="n">
        <f aca="false">D12</f>
        <v>62.445642</v>
      </c>
      <c r="F11" s="18" t="n">
        <f aca="false">E12</f>
        <v>62.445642</v>
      </c>
      <c r="G11" s="18" t="n">
        <f aca="false">F12</f>
        <v>62.445642</v>
      </c>
    </row>
    <row r="12" customFormat="false" ht="15" hidden="false" customHeight="false" outlineLevel="0" collapsed="false">
      <c r="A12" s="0" t="s">
        <v>67</v>
      </c>
      <c r="B12" s="18" t="n">
        <f aca="false">B11</f>
        <v>62.445642</v>
      </c>
      <c r="C12" s="18" t="n">
        <f aca="false">C11</f>
        <v>62.445642</v>
      </c>
      <c r="D12" s="18" t="n">
        <f aca="false">D11</f>
        <v>62.445642</v>
      </c>
      <c r="E12" s="18" t="n">
        <f aca="false">E11</f>
        <v>62.445642</v>
      </c>
      <c r="F12" s="18" t="n">
        <f aca="false">F11</f>
        <v>62.445642</v>
      </c>
      <c r="G12" s="18" t="n">
        <f aca="false">G11</f>
        <v>62.445642</v>
      </c>
    </row>
    <row r="13" customFormat="false" ht="15" hidden="false" customHeight="false" outlineLevel="0" collapsed="false">
      <c r="B13" s="18"/>
      <c r="C13" s="18"/>
      <c r="D13" s="18"/>
      <c r="E13" s="18"/>
      <c r="F13" s="18"/>
      <c r="G13" s="18"/>
    </row>
    <row r="14" customFormat="false" ht="15" hidden="false" customHeight="false" outlineLevel="0" collapsed="false">
      <c r="B14" s="18"/>
      <c r="C14" s="18"/>
      <c r="D14" s="18"/>
      <c r="E14" s="18"/>
      <c r="F14" s="18"/>
      <c r="G14" s="18"/>
    </row>
    <row r="15" customFormat="false" ht="15" hidden="false" customHeight="false" outlineLevel="0" collapsed="false">
      <c r="A15" s="3" t="s">
        <v>69</v>
      </c>
      <c r="B15" s="18"/>
      <c r="C15" s="18"/>
      <c r="D15" s="18"/>
      <c r="E15" s="18"/>
      <c r="F15" s="18"/>
      <c r="G15" s="18"/>
    </row>
    <row r="16" customFormat="false" ht="15" hidden="false" customHeight="false" outlineLevel="0" collapsed="false">
      <c r="A16" s="0" t="s">
        <v>70</v>
      </c>
      <c r="B16" s="18" t="n">
        <f aca="false">B7+B12</f>
        <v>215.3298</v>
      </c>
      <c r="C16" s="18" t="n">
        <f aca="false">C7+C12</f>
        <v>206.175297121106</v>
      </c>
      <c r="D16" s="18" t="n">
        <f aca="false">D7+D12</f>
        <v>196.181813688678</v>
      </c>
      <c r="E16" s="18" t="n">
        <f aca="false">E7+E12</f>
        <v>185.337898779425</v>
      </c>
      <c r="F16" s="18" t="n">
        <f aca="false">F7+F12</f>
        <v>173.600015385915</v>
      </c>
      <c r="G16" s="18" t="n">
        <f aca="false">G7+G12</f>
        <v>160.922726720965</v>
      </c>
    </row>
    <row r="18" customFormat="false" ht="15" hidden="false" customHeight="false" outlineLevel="0" collapsed="false">
      <c r="A18" s="0" t="s">
        <v>71</v>
      </c>
      <c r="B18" s="19" t="n">
        <f aca="false">B16/Income_Statement!B5</f>
        <v>7.03278463648834</v>
      </c>
      <c r="C18" s="19" t="n">
        <f aca="false">C16/Income_Statement!C5</f>
        <v>6.55995494664454</v>
      </c>
      <c r="D18" s="19" t="n">
        <f aca="false">D16/Income_Statement!D5</f>
        <v>6.05900662381046</v>
      </c>
      <c r="E18" s="19" t="n">
        <f aca="false">E16/Income_Statement!E5</f>
        <v>5.56629173800195</v>
      </c>
      <c r="F18" s="19" t="n">
        <f aca="false">F16/Income_Statement!F5</f>
        <v>5.07003008693422</v>
      </c>
      <c r="G18" s="19" t="n">
        <f aca="false">G16/Income_Statement!G5</f>
        <v>4.57022106369822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22" activeCellId="0" sqref="D22"/>
    </sheetView>
  </sheetViews>
  <sheetFormatPr defaultColWidth="8.83203125" defaultRowHeight="15" zeroHeight="false" outlineLevelRow="0" outlineLevelCol="0"/>
  <cols>
    <col collapsed="false" customWidth="true" hidden="false" outlineLevel="0" max="1" min="1" style="0" width="35"/>
    <col collapsed="false" customWidth="true" hidden="false" outlineLevel="0" max="2" min="2" style="0" width="15"/>
  </cols>
  <sheetData>
    <row r="1" customFormat="false" ht="15" hidden="false" customHeight="false" outlineLevel="0" collapsed="false">
      <c r="A1" s="12" t="s">
        <v>72</v>
      </c>
      <c r="B1" s="12"/>
      <c r="C1" s="12"/>
    </row>
    <row r="3" customFormat="false" ht="15" hidden="false" customHeight="false" outlineLevel="0" collapsed="false">
      <c r="A3" s="3" t="s">
        <v>73</v>
      </c>
    </row>
    <row r="4" customFormat="false" ht="15" hidden="false" customHeight="false" outlineLevel="0" collapsed="false">
      <c r="A4" s="0" t="s">
        <v>74</v>
      </c>
      <c r="B4" s="14" t="n">
        <f aca="false">Income_Statement!G4</f>
        <v>217.352760643138</v>
      </c>
    </row>
    <row r="5" customFormat="false" ht="15" hidden="false" customHeight="false" outlineLevel="0" collapsed="false">
      <c r="A5" s="0" t="s">
        <v>75</v>
      </c>
      <c r="B5" s="14" t="n">
        <f aca="false">Income_Statement!G5</f>
        <v>35.2111472241884</v>
      </c>
    </row>
    <row r="6" customFormat="false" ht="15" hidden="false" customHeight="false" outlineLevel="0" collapsed="false">
      <c r="A6" s="0" t="s">
        <v>76</v>
      </c>
      <c r="B6" s="19" t="n">
        <f aca="false">Assumptions!B41</f>
        <v>11.69</v>
      </c>
    </row>
    <row r="7" customFormat="false" ht="15" hidden="false" customHeight="false" outlineLevel="0" collapsed="false">
      <c r="A7" s="0" t="s">
        <v>77</v>
      </c>
      <c r="B7" s="20" t="n">
        <f aca="false">B5*B6</f>
        <v>411.618311050763</v>
      </c>
    </row>
    <row r="9" customFormat="false" ht="15" hidden="false" customHeight="false" outlineLevel="0" collapsed="false">
      <c r="A9" s="3" t="s">
        <v>78</v>
      </c>
    </row>
    <row r="10" customFormat="false" ht="15" hidden="false" customHeight="false" outlineLevel="0" collapsed="false">
      <c r="A10" s="0" t="s">
        <v>79</v>
      </c>
      <c r="B10" s="14" t="n">
        <f aca="false">Debt_Schedule!G7</f>
        <v>98.4770847209648</v>
      </c>
    </row>
    <row r="11" customFormat="false" ht="15" hidden="false" customHeight="false" outlineLevel="0" collapsed="false">
      <c r="A11" s="0" t="s">
        <v>80</v>
      </c>
      <c r="B11" s="14" t="n">
        <f aca="false">Debt_Schedule!G12</f>
        <v>62.445642</v>
      </c>
    </row>
    <row r="12" customFormat="false" ht="15" hidden="false" customHeight="false" outlineLevel="0" collapsed="false">
      <c r="A12" s="0" t="s">
        <v>81</v>
      </c>
      <c r="B12" s="14" t="n">
        <f aca="false">B10+B11</f>
        <v>160.922726720965</v>
      </c>
    </row>
    <row r="14" customFormat="false" ht="15" hidden="false" customHeight="false" outlineLevel="0" collapsed="false">
      <c r="A14" s="3" t="s">
        <v>82</v>
      </c>
      <c r="B14" s="20" t="n">
        <f aca="false">B7-B12</f>
        <v>250.695584329798</v>
      </c>
    </row>
    <row r="16" customFormat="false" ht="15" hidden="false" customHeight="false" outlineLevel="0" collapsed="false">
      <c r="A16" s="3" t="s">
        <v>83</v>
      </c>
      <c r="B16" s="14" t="n">
        <f aca="false">Assumptions!B19</f>
        <v>143.5532</v>
      </c>
    </row>
    <row r="18" customFormat="false" ht="15" hidden="false" customHeight="false" outlineLevel="0" collapsed="false">
      <c r="A18" s="3" t="s">
        <v>84</v>
      </c>
    </row>
    <row r="19" customFormat="false" ht="15" hidden="false" customHeight="false" outlineLevel="0" collapsed="false">
      <c r="A19" s="0" t="s">
        <v>85</v>
      </c>
      <c r="B19" s="21" t="n">
        <f aca="false">B14/B16</f>
        <v>1.74636012523439</v>
      </c>
    </row>
    <row r="20" customFormat="false" ht="15" hidden="false" customHeight="false" outlineLevel="0" collapsed="false">
      <c r="A20" s="0" t="s">
        <v>86</v>
      </c>
      <c r="B20" s="22" t="n">
        <f aca="false">(B14/B16)^(1/5)-1</f>
        <v>0.117961277573012</v>
      </c>
    </row>
    <row r="22" customFormat="false" ht="15" hidden="false" customHeight="false" outlineLevel="0" collapsed="false">
      <c r="A22" s="3" t="s">
        <v>87</v>
      </c>
    </row>
    <row r="23" customFormat="false" ht="15" hidden="false" customHeight="false" outlineLevel="0" collapsed="false">
      <c r="A23" s="0" t="s">
        <v>88</v>
      </c>
      <c r="B23" s="19" t="n">
        <f aca="false">Assumptions!B21</f>
        <v>7.014</v>
      </c>
    </row>
    <row r="24" customFormat="false" ht="15" hidden="false" customHeight="false" outlineLevel="0" collapsed="false">
      <c r="A24" s="0" t="s">
        <v>89</v>
      </c>
      <c r="B24" s="19" t="n">
        <f aca="false">B12/B5</f>
        <v>4.57022106369822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2026-09-18T11:25:48Z</dcterms:created>
  <dc:creator>openpyxl</dc:creator>
  <dc:description/>
  <dc:language>en-US</dc:language>
  <cp:lastModifiedBy>Hlib Papanov</cp:lastModifiedBy>
  <dcterms:modified xsi:type="dcterms:W3CDTF">2026-09-18T12:57:09Z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