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hlibpapanov/Desktop/Project_Ukr2030/P2 (LBO)/"/>
    </mc:Choice>
  </mc:AlternateContent>
  <xr:revisionPtr revIDLastSave="0" documentId="13_ncr:1_{14603E14-2F67-1546-AD71-3CF0626063B3}" xr6:coauthVersionLast="47" xr6:coauthVersionMax="47" xr10:uidLastSave="{00000000-0000-0000-0000-000000000000}"/>
  <bookViews>
    <workbookView xWindow="0" yWindow="680" windowWidth="25600" windowHeight="14760" activeTab="2" xr2:uid="{00000000-000D-0000-FFFF-FFFF00000000}"/>
  </bookViews>
  <sheets>
    <sheet name="Assumptions" sheetId="1" r:id="rId1"/>
    <sheet name="Income_Statement" sheetId="2" r:id="rId2"/>
    <sheet name="Debt_Schedule" sheetId="3" r:id="rId3"/>
    <sheet name="Exit_Analysi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1" l="1"/>
  <c r="B32" i="1"/>
  <c r="B18" i="1"/>
  <c r="B41" i="1"/>
  <c r="B6" i="4" s="1"/>
  <c r="B4" i="2"/>
  <c r="C4" i="2" s="1"/>
  <c r="C18" i="2" s="1"/>
  <c r="B14" i="1"/>
  <c r="B20" i="1" s="1"/>
  <c r="B21" i="1" s="1"/>
  <c r="B19" i="2" l="1"/>
  <c r="B18" i="2"/>
  <c r="C19" i="2"/>
  <c r="B7" i="2"/>
  <c r="B5" i="2"/>
  <c r="B19" i="1"/>
  <c r="B16" i="4" s="1"/>
  <c r="B23" i="1"/>
  <c r="B11" i="3" s="1"/>
  <c r="B22" i="1"/>
  <c r="B6" i="3" s="1"/>
  <c r="B23" i="4"/>
  <c r="D4" i="2"/>
  <c r="C5" i="2"/>
  <c r="C21" i="2" s="1"/>
  <c r="C7" i="2"/>
  <c r="D18" i="2" l="1"/>
  <c r="D19" i="2"/>
  <c r="B12" i="3"/>
  <c r="C11" i="3" s="1"/>
  <c r="B11" i="2"/>
  <c r="B7" i="3"/>
  <c r="B16" i="3" s="1"/>
  <c r="B18" i="3" s="1"/>
  <c r="B10" i="2"/>
  <c r="B12" i="2" s="1"/>
  <c r="B17" i="2" s="1"/>
  <c r="B6" i="2"/>
  <c r="B21" i="2"/>
  <c r="B8" i="2"/>
  <c r="C6" i="2"/>
  <c r="C8" i="2"/>
  <c r="E4" i="2"/>
  <c r="D7" i="2"/>
  <c r="D5" i="2"/>
  <c r="D21" i="2" s="1"/>
  <c r="C6" i="3"/>
  <c r="C10" i="2" s="1"/>
  <c r="B13" i="2" l="1"/>
  <c r="B14" i="2" s="1"/>
  <c r="B20" i="2" s="1"/>
  <c r="B22" i="2" s="1"/>
  <c r="E18" i="2"/>
  <c r="E19" i="2"/>
  <c r="C12" i="3"/>
  <c r="D11" i="3" s="1"/>
  <c r="C11" i="2"/>
  <c r="C12" i="2" s="1"/>
  <c r="F4" i="2"/>
  <c r="E7" i="2"/>
  <c r="E5" i="2"/>
  <c r="E21" i="2" s="1"/>
  <c r="D6" i="2"/>
  <c r="D8" i="2"/>
  <c r="B15" i="2" l="1"/>
  <c r="C17" i="2"/>
  <c r="C13" i="2"/>
  <c r="C14" i="2" s="1"/>
  <c r="C15" i="2" s="1"/>
  <c r="F19" i="2"/>
  <c r="F18" i="2"/>
  <c r="D12" i="3"/>
  <c r="E11" i="3" s="1"/>
  <c r="D11" i="2"/>
  <c r="E8" i="2"/>
  <c r="E6" i="2"/>
  <c r="F7" i="2"/>
  <c r="F5" i="2"/>
  <c r="F21" i="2" s="1"/>
  <c r="G4" i="2"/>
  <c r="C20" i="2" l="1"/>
  <c r="C22" i="2" s="1"/>
  <c r="C7" i="3" s="1"/>
  <c r="D6" i="3" s="1"/>
  <c r="D10" i="2" s="1"/>
  <c r="D12" i="2" s="1"/>
  <c r="E12" i="3"/>
  <c r="F11" i="3" s="1"/>
  <c r="E11" i="2"/>
  <c r="B4" i="4"/>
  <c r="G18" i="2"/>
  <c r="G19" i="2"/>
  <c r="G7" i="2"/>
  <c r="G5" i="2"/>
  <c r="G21" i="2" s="1"/>
  <c r="F6" i="2"/>
  <c r="F8" i="2"/>
  <c r="C16" i="3" l="1"/>
  <c r="C18" i="3" s="1"/>
  <c r="F12" i="3"/>
  <c r="G11" i="3" s="1"/>
  <c r="F11" i="2"/>
  <c r="D17" i="2"/>
  <c r="D13" i="2"/>
  <c r="D14" i="2" s="1"/>
  <c r="G8" i="2"/>
  <c r="B5" i="4"/>
  <c r="B7" i="4" s="1"/>
  <c r="G6" i="2"/>
  <c r="G12" i="3" l="1"/>
  <c r="B11" i="4" s="1"/>
  <c r="G11" i="2"/>
  <c r="D15" i="2"/>
  <c r="D20" i="2"/>
  <c r="D22" i="2" s="1"/>
  <c r="D7" i="3" s="1"/>
  <c r="E6" i="3" l="1"/>
  <c r="E10" i="2" s="1"/>
  <c r="E12" i="2" s="1"/>
  <c r="D16" i="3"/>
  <c r="D18" i="3" s="1"/>
  <c r="E17" i="2" l="1"/>
  <c r="E13" i="2"/>
  <c r="E14" i="2" s="1"/>
  <c r="E15" i="2" l="1"/>
  <c r="E20" i="2"/>
  <c r="E22" i="2" s="1"/>
  <c r="E7" i="3" s="1"/>
  <c r="F6" i="3" l="1"/>
  <c r="F10" i="2" s="1"/>
  <c r="F12" i="2" s="1"/>
  <c r="E16" i="3"/>
  <c r="E18" i="3" s="1"/>
  <c r="F17" i="2" l="1"/>
  <c r="F13" i="2"/>
  <c r="F14" i="2" s="1"/>
  <c r="F15" i="2" l="1"/>
  <c r="F20" i="2"/>
  <c r="F22" i="2" s="1"/>
  <c r="F7" i="3" s="1"/>
  <c r="G6" i="3" l="1"/>
  <c r="G10" i="2" s="1"/>
  <c r="G12" i="2" s="1"/>
  <c r="F16" i="3"/>
  <c r="F18" i="3" s="1"/>
  <c r="G17" i="2" l="1"/>
  <c r="G13" i="2"/>
  <c r="G14" i="2" s="1"/>
  <c r="G15" i="2" l="1"/>
  <c r="G20" i="2"/>
  <c r="G22" i="2" s="1"/>
  <c r="G7" i="3" s="1"/>
  <c r="B10" i="4" l="1"/>
  <c r="B12" i="4" s="1"/>
  <c r="G16" i="3"/>
  <c r="G18" i="3" s="1"/>
  <c r="B14" i="4" l="1"/>
  <c r="B24" i="4"/>
  <c r="B19" i="4" l="1"/>
  <c r="B20" i="4"/>
</calcChain>
</file>

<file path=xl/sharedStrings.xml><?xml version="1.0" encoding="utf-8"?>
<sst xmlns="http://schemas.openxmlformats.org/spreadsheetml/2006/main" count="121" uniqueCount="90">
  <si>
    <t>LBO MODEL - ASSUMPTIONS</t>
  </si>
  <si>
    <t>Company Name:</t>
  </si>
  <si>
    <t>Ticker:</t>
  </si>
  <si>
    <t>YEAR 0 DATA (Current LTM)</t>
  </si>
  <si>
    <t>Current Revenue (LTM):</t>
  </si>
  <si>
    <t>$M</t>
  </si>
  <si>
    <t>Current EBITDA (LTM):</t>
  </si>
  <si>
    <t>Current EBITDA Margin:</t>
  </si>
  <si>
    <t>%</t>
  </si>
  <si>
    <t>Current Debt:</t>
  </si>
  <si>
    <t>ENTRY VALUATION</t>
  </si>
  <si>
    <t>Entry Multiple (EV/EBITDA):</t>
  </si>
  <si>
    <t>x</t>
  </si>
  <si>
    <t>Enterprise Value at Entry:</t>
  </si>
  <si>
    <t>CAPITAL STRUCTURE (40% Equity, 60% Debt)</t>
  </si>
  <si>
    <t>Sponsor Equity Investment:</t>
  </si>
  <si>
    <t>Total Debt to Raise:</t>
  </si>
  <si>
    <t>Entry Leverage (Debt/EBITDA):</t>
  </si>
  <si>
    <t>x EBITDA</t>
  </si>
  <si>
    <t>Senior Debt (71% of total):</t>
  </si>
  <si>
    <t>Sub Debt (29% of total):</t>
  </si>
  <si>
    <t>DEBT RATES</t>
  </si>
  <si>
    <t>Senior Debt Rate:</t>
  </si>
  <si>
    <t>Sub Debt Rate:</t>
  </si>
  <si>
    <t>5-YEAR PROJECTIONS</t>
  </si>
  <si>
    <t>Revenue Growth Rate (Yr 3-5):</t>
  </si>
  <si>
    <t>D&amp;A % of Revenue:</t>
  </si>
  <si>
    <t>Tax Rate:</t>
  </si>
  <si>
    <t>EXIT ASSUMPTIONS (YEAR 5)</t>
  </si>
  <si>
    <t>Exit Multiple (EV/EBITDA):</t>
  </si>
  <si>
    <t>5-YEAR INCOME STATEMENT</t>
  </si>
  <si>
    <t>Line Item</t>
  </si>
  <si>
    <t>Year 0</t>
  </si>
  <si>
    <t>Year 1</t>
  </si>
  <si>
    <t>Year 2</t>
  </si>
  <si>
    <t>Year 3</t>
  </si>
  <si>
    <t>Year 4</t>
  </si>
  <si>
    <t>Year 5</t>
  </si>
  <si>
    <t>Revenue</t>
  </si>
  <si>
    <t>EBITDA</t>
  </si>
  <si>
    <t>EBITDA Margin %</t>
  </si>
  <si>
    <t>D&amp;A</t>
  </si>
  <si>
    <t>EBIT (EBITDA - D&amp;A)</t>
  </si>
  <si>
    <t>Interest Expense - Senior</t>
  </si>
  <si>
    <t>Interest Expense - Sub</t>
  </si>
  <si>
    <t>Total Interest</t>
  </si>
  <si>
    <t>EBT (EBIT - Interest)</t>
  </si>
  <si>
    <t>Net Income</t>
  </si>
  <si>
    <t>DEBT PAYDOWN SCHEDULE</t>
  </si>
  <si>
    <t>SENIOR DEBT</t>
  </si>
  <si>
    <t>Beginning Balance</t>
  </si>
  <si>
    <t>Ending Balance</t>
  </si>
  <si>
    <t>SUBORDINATED DEBT</t>
  </si>
  <si>
    <t>TOTAL DEBT</t>
  </si>
  <si>
    <t>Total Debt</t>
  </si>
  <si>
    <t>Leverage Ratio (Debt/EBITDA)</t>
  </si>
  <si>
    <t>EXIT ANALYSIS &amp; RETURNS (YEAR 5)</t>
  </si>
  <si>
    <t>YEAR 5 VALUATION</t>
  </si>
  <si>
    <t>Year 5 Revenue</t>
  </si>
  <si>
    <t>Year 5 EBITDA</t>
  </si>
  <si>
    <t>Exit Multiple (EV/EBITDA)</t>
  </si>
  <si>
    <t>Exit Enterprise Value</t>
  </si>
  <si>
    <t>DEBT AT EXIT</t>
  </si>
  <si>
    <t>Senior Debt at Exit</t>
  </si>
  <si>
    <t>Sub Debt at Exit</t>
  </si>
  <si>
    <t>Total Debt at Exit</t>
  </si>
  <si>
    <t>EQUITY VALUE AT EXIT</t>
  </si>
  <si>
    <t>INITIAL EQUITY INVESTMENT</t>
  </si>
  <si>
    <t>RETURNS ANALYSIS</t>
  </si>
  <si>
    <t>Money Multiple (MOIC)</t>
  </si>
  <si>
    <t>IRR (%)</t>
  </si>
  <si>
    <t>LEVERAGE ANALYSIS</t>
  </si>
  <si>
    <t>Entry Leverage (Debt/EBITDA)</t>
  </si>
  <si>
    <t>Exit Leverage (Debt/EBITDA)</t>
  </si>
  <si>
    <t>Sponsor Equity Investment in percent:</t>
  </si>
  <si>
    <t>Debt Investment in percent:</t>
  </si>
  <si>
    <t>Revenue Growth Rate (Yr 2):</t>
  </si>
  <si>
    <t>Revenue Growth Rate (Yr 1):</t>
  </si>
  <si>
    <t>EBITDA Margin (holds constant):</t>
  </si>
  <si>
    <t xml:space="preserve">Taxes </t>
  </si>
  <si>
    <t>FCF Sweep % (amount to debt paydown)</t>
  </si>
  <si>
    <t>Interest Paid</t>
  </si>
  <si>
    <t>CAPEX</t>
  </si>
  <si>
    <t>Change in Working Capital</t>
  </si>
  <si>
    <t>Taxes</t>
  </si>
  <si>
    <t>FCF</t>
  </si>
  <si>
    <t>GB Group plc</t>
  </si>
  <si>
    <t>GBG</t>
  </si>
  <si>
    <t>Capital Expenditures (CapEx) as a percentage of Revenue</t>
  </si>
  <si>
    <t>Change in Working Capital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</si>
</sst>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%"/>
    <numFmt numFmtId="166" formatCode="0.0\x"/>
    <numFmt numFmtId="167" formatCode="0.0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EB9C"/>
        <bgColor rgb="FFFFEB9C"/>
      </patternFill>
    </fill>
    <fill>
      <patternFill patternType="solid">
        <fgColor rgb="FFC6E0B4"/>
        <bgColor rgb="FFC6E0B4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3">
    <xf numFmtId="0" fontId="0" fillId="0" borderId="0" xfId="0"/>
    <xf numFmtId="0" fontId="0" fillId="3" borderId="0" xfId="0" applyFill="1"/>
    <xf numFmtId="0" fontId="2" fillId="0" borderId="0" xfId="0" applyFont="1"/>
    <xf numFmtId="0" fontId="0" fillId="4" borderId="0" xfId="0" applyFill="1"/>
    <xf numFmtId="0" fontId="4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164" fontId="5" fillId="0" borderId="0" xfId="0" applyNumberFormat="1" applyFont="1"/>
    <xf numFmtId="0" fontId="5" fillId="0" borderId="0" xfId="0" applyFont="1"/>
    <xf numFmtId="166" fontId="0" fillId="0" borderId="0" xfId="0" applyNumberFormat="1"/>
    <xf numFmtId="164" fontId="5" fillId="4" borderId="0" xfId="0" applyNumberFormat="1" applyFont="1" applyFill="1"/>
    <xf numFmtId="166" fontId="6" fillId="5" borderId="0" xfId="0" applyNumberFormat="1" applyFont="1" applyFill="1"/>
    <xf numFmtId="165" fontId="6" fillId="5" borderId="0" xfId="0" applyNumberFormat="1" applyFont="1" applyFill="1"/>
    <xf numFmtId="9" fontId="0" fillId="4" borderId="0" xfId="1" applyFont="1" applyFill="1"/>
    <xf numFmtId="9" fontId="0" fillId="3" borderId="0" xfId="1" applyFont="1" applyFill="1"/>
    <xf numFmtId="10" fontId="0" fillId="4" borderId="0" xfId="1" applyNumberFormat="1" applyFont="1" applyFill="1"/>
    <xf numFmtId="165" fontId="0" fillId="3" borderId="0" xfId="1" applyNumberFormat="1" applyFont="1" applyFill="1"/>
    <xf numFmtId="10" fontId="0" fillId="3" borderId="0" xfId="1" applyNumberFormat="1" applyFont="1" applyFill="1"/>
    <xf numFmtId="2" fontId="0" fillId="0" borderId="0" xfId="0" applyNumberFormat="1"/>
    <xf numFmtId="167" fontId="0" fillId="0" borderId="0" xfId="0" applyNumberFormat="1"/>
    <xf numFmtId="0" fontId="1" fillId="2" borderId="0" xfId="0" applyFont="1" applyFill="1"/>
    <xf numFmtId="0" fontId="0" fillId="0" borderId="0" xfId="0"/>
    <xf numFmtId="0" fontId="3" fillId="2" borderId="0" xfId="0" applyFont="1" applyFill="1"/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workbookViewId="0">
      <selection activeCell="A39" sqref="A39"/>
    </sheetView>
  </sheetViews>
  <sheetFormatPr baseColWidth="10" defaultColWidth="8.83203125" defaultRowHeight="15" x14ac:dyDescent="0.2"/>
  <cols>
    <col min="1" max="1" width="43.6640625" bestFit="1" customWidth="1"/>
    <col min="2" max="2" width="15" customWidth="1"/>
    <col min="3" max="3" width="20" customWidth="1"/>
  </cols>
  <sheetData>
    <row r="1" spans="1:3" ht="19" x14ac:dyDescent="0.25">
      <c r="A1" s="20" t="s">
        <v>0</v>
      </c>
      <c r="B1" s="21"/>
      <c r="C1" s="21"/>
    </row>
    <row r="3" spans="1:3" x14ac:dyDescent="0.2">
      <c r="A3" t="s">
        <v>1</v>
      </c>
      <c r="B3" s="1" t="s">
        <v>86</v>
      </c>
    </row>
    <row r="4" spans="1:3" x14ac:dyDescent="0.2">
      <c r="A4" t="s">
        <v>2</v>
      </c>
      <c r="B4" s="1" t="s">
        <v>87</v>
      </c>
    </row>
    <row r="6" spans="1:3" x14ac:dyDescent="0.2">
      <c r="A6" s="2" t="s">
        <v>3</v>
      </c>
    </row>
    <row r="7" spans="1:3" x14ac:dyDescent="0.2">
      <c r="A7" t="s">
        <v>4</v>
      </c>
      <c r="B7" s="1">
        <v>376.4</v>
      </c>
      <c r="C7" t="s">
        <v>5</v>
      </c>
    </row>
    <row r="8" spans="1:3" x14ac:dyDescent="0.2">
      <c r="A8" t="s">
        <v>6</v>
      </c>
      <c r="B8" s="1">
        <v>61.5</v>
      </c>
      <c r="C8" t="s">
        <v>5</v>
      </c>
    </row>
    <row r="9" spans="1:3" x14ac:dyDescent="0.2">
      <c r="A9" t="s">
        <v>7</v>
      </c>
      <c r="B9" s="17">
        <v>0.16300000000000001</v>
      </c>
      <c r="C9" t="s">
        <v>8</v>
      </c>
    </row>
    <row r="10" spans="1:3" x14ac:dyDescent="0.2">
      <c r="A10" t="s">
        <v>9</v>
      </c>
      <c r="B10" s="1">
        <v>150</v>
      </c>
      <c r="C10" t="s">
        <v>5</v>
      </c>
    </row>
    <row r="12" spans="1:3" x14ac:dyDescent="0.2">
      <c r="A12" s="2" t="s">
        <v>10</v>
      </c>
    </row>
    <row r="13" spans="1:3" x14ac:dyDescent="0.2">
      <c r="A13" t="s">
        <v>11</v>
      </c>
      <c r="B13" s="1">
        <v>9.52</v>
      </c>
      <c r="C13" t="s">
        <v>12</v>
      </c>
    </row>
    <row r="14" spans="1:3" x14ac:dyDescent="0.2">
      <c r="A14" t="s">
        <v>13</v>
      </c>
      <c r="B14" s="3">
        <f>B8*B13</f>
        <v>585.48</v>
      </c>
      <c r="C14" t="s">
        <v>5</v>
      </c>
    </row>
    <row r="16" spans="1:3" x14ac:dyDescent="0.2">
      <c r="A16" s="2" t="s">
        <v>14</v>
      </c>
    </row>
    <row r="17" spans="1:3" x14ac:dyDescent="0.2">
      <c r="A17" t="s">
        <v>74</v>
      </c>
      <c r="B17" s="13">
        <v>0.4</v>
      </c>
      <c r="C17" t="s">
        <v>8</v>
      </c>
    </row>
    <row r="18" spans="1:3" x14ac:dyDescent="0.2">
      <c r="A18" t="s">
        <v>75</v>
      </c>
      <c r="B18" s="13">
        <f>1-B17</f>
        <v>0.6</v>
      </c>
      <c r="C18" t="s">
        <v>8</v>
      </c>
    </row>
    <row r="19" spans="1:3" x14ac:dyDescent="0.2">
      <c r="A19" t="s">
        <v>15</v>
      </c>
      <c r="B19" s="3">
        <f>B14*B17</f>
        <v>234.19200000000001</v>
      </c>
      <c r="C19" t="s">
        <v>5</v>
      </c>
    </row>
    <row r="20" spans="1:3" x14ac:dyDescent="0.2">
      <c r="A20" t="s">
        <v>16</v>
      </c>
      <c r="B20" s="3">
        <f>B14*B18</f>
        <v>351.28800000000001</v>
      </c>
      <c r="C20" t="s">
        <v>5</v>
      </c>
    </row>
    <row r="21" spans="1:3" x14ac:dyDescent="0.2">
      <c r="A21" t="s">
        <v>17</v>
      </c>
      <c r="B21" s="3">
        <f>B20/B8</f>
        <v>5.7119999999999997</v>
      </c>
      <c r="C21" t="s">
        <v>18</v>
      </c>
    </row>
    <row r="22" spans="1:3" x14ac:dyDescent="0.2">
      <c r="A22" t="s">
        <v>19</v>
      </c>
      <c r="B22" s="3">
        <f>B20*0.71</f>
        <v>249.41448</v>
      </c>
      <c r="C22" t="s">
        <v>5</v>
      </c>
    </row>
    <row r="23" spans="1:3" x14ac:dyDescent="0.2">
      <c r="A23" t="s">
        <v>20</v>
      </c>
      <c r="B23" s="3">
        <f>B20*0.29</f>
        <v>101.87352</v>
      </c>
      <c r="C23" t="s">
        <v>5</v>
      </c>
    </row>
    <row r="25" spans="1:3" x14ac:dyDescent="0.2">
      <c r="A25" s="2" t="s">
        <v>21</v>
      </c>
    </row>
    <row r="26" spans="1:3" x14ac:dyDescent="0.2">
      <c r="A26" t="s">
        <v>22</v>
      </c>
      <c r="B26" s="15">
        <v>6.3E-2</v>
      </c>
      <c r="C26" t="s">
        <v>8</v>
      </c>
    </row>
    <row r="27" spans="1:3" x14ac:dyDescent="0.2">
      <c r="A27" t="s">
        <v>23</v>
      </c>
      <c r="B27" s="15">
        <v>8.8499999999999995E-2</v>
      </c>
      <c r="C27" t="s">
        <v>8</v>
      </c>
    </row>
    <row r="29" spans="1:3" x14ac:dyDescent="0.2">
      <c r="A29" s="2" t="s">
        <v>24</v>
      </c>
    </row>
    <row r="30" spans="1:3" x14ac:dyDescent="0.2">
      <c r="A30" t="s">
        <v>77</v>
      </c>
      <c r="B30" s="17">
        <v>1.8200000000000001E-2</v>
      </c>
      <c r="C30" t="s">
        <v>8</v>
      </c>
    </row>
    <row r="31" spans="1:3" x14ac:dyDescent="0.2">
      <c r="A31" t="s">
        <v>76</v>
      </c>
      <c r="B31" s="17">
        <v>3.1E-2</v>
      </c>
      <c r="C31" t="s">
        <v>8</v>
      </c>
    </row>
    <row r="32" spans="1:3" x14ac:dyDescent="0.2">
      <c r="A32" t="s">
        <v>25</v>
      </c>
      <c r="B32" s="15">
        <f>AVERAGE(B30:B31)</f>
        <v>2.46E-2</v>
      </c>
      <c r="C32" t="s">
        <v>8</v>
      </c>
    </row>
    <row r="33" spans="1:3" x14ac:dyDescent="0.2">
      <c r="A33" t="s">
        <v>78</v>
      </c>
      <c r="B33" s="15">
        <f>B9</f>
        <v>0.16300000000000001</v>
      </c>
      <c r="C33" t="s">
        <v>8</v>
      </c>
    </row>
    <row r="34" spans="1:3" x14ac:dyDescent="0.2">
      <c r="A34" t="s">
        <v>26</v>
      </c>
      <c r="B34" s="17">
        <v>0.1235</v>
      </c>
      <c r="C34" t="s">
        <v>8</v>
      </c>
    </row>
    <row r="35" spans="1:3" x14ac:dyDescent="0.2">
      <c r="A35" t="s">
        <v>27</v>
      </c>
      <c r="B35" s="16">
        <v>0.245</v>
      </c>
      <c r="C35" t="s">
        <v>8</v>
      </c>
    </row>
    <row r="36" spans="1:3" x14ac:dyDescent="0.2">
      <c r="A36" t="s">
        <v>80</v>
      </c>
      <c r="B36" s="14">
        <v>0.75</v>
      </c>
      <c r="C36" t="s">
        <v>8</v>
      </c>
    </row>
    <row r="37" spans="1:3" x14ac:dyDescent="0.2">
      <c r="A37" t="s">
        <v>88</v>
      </c>
      <c r="B37" s="14">
        <v>0.02</v>
      </c>
      <c r="C37" t="s">
        <v>8</v>
      </c>
    </row>
    <row r="38" spans="1:3" x14ac:dyDescent="0.2">
      <c r="A38" t="s">
        <v>89</v>
      </c>
      <c r="B38" s="14">
        <v>0</v>
      </c>
      <c r="C38" t="s">
        <v>8</v>
      </c>
    </row>
    <row r="40" spans="1:3" x14ac:dyDescent="0.2">
      <c r="A40" s="2" t="s">
        <v>28</v>
      </c>
    </row>
    <row r="41" spans="1:3" x14ac:dyDescent="0.2">
      <c r="A41" t="s">
        <v>29</v>
      </c>
      <c r="B41" s="3">
        <f>B13</f>
        <v>9.52</v>
      </c>
      <c r="C41" t="s">
        <v>12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topLeftCell="A2" zoomScale="164" workbookViewId="0">
      <selection activeCell="D20" sqref="D20"/>
    </sheetView>
  </sheetViews>
  <sheetFormatPr baseColWidth="10" defaultColWidth="8.83203125" defaultRowHeight="15" x14ac:dyDescent="0.2"/>
  <cols>
    <col min="1" max="1" width="30" customWidth="1"/>
    <col min="2" max="7" width="13" customWidth="1"/>
  </cols>
  <sheetData>
    <row r="1" spans="1:7" ht="16" x14ac:dyDescent="0.2">
      <c r="A1" s="22" t="s">
        <v>30</v>
      </c>
      <c r="B1" s="21"/>
      <c r="C1" s="21"/>
      <c r="D1" s="21"/>
      <c r="E1" s="21"/>
      <c r="F1" s="21"/>
      <c r="G1" s="21"/>
    </row>
    <row r="3" spans="1:7" x14ac:dyDescent="0.2">
      <c r="A3" s="4" t="s">
        <v>31</v>
      </c>
      <c r="B3" s="4" t="s">
        <v>32</v>
      </c>
      <c r="C3" s="4" t="s">
        <v>33</v>
      </c>
      <c r="D3" s="4" t="s">
        <v>34</v>
      </c>
      <c r="E3" s="4" t="s">
        <v>35</v>
      </c>
      <c r="F3" s="4" t="s">
        <v>36</v>
      </c>
      <c r="G3" s="4" t="s">
        <v>37</v>
      </c>
    </row>
    <row r="4" spans="1:7" x14ac:dyDescent="0.2">
      <c r="A4" t="s">
        <v>38</v>
      </c>
      <c r="B4" s="5">
        <f>Assumptions!B7</f>
        <v>376.4</v>
      </c>
      <c r="C4" s="5">
        <f>B4*(1+Assumptions!B30)</f>
        <v>383.25047999999998</v>
      </c>
      <c r="D4" s="5">
        <f>C4*(1+Assumptions!B31)</f>
        <v>395.13124487999994</v>
      </c>
      <c r="E4" s="5">
        <f>D4*(1+Assumptions!B32)</f>
        <v>404.85147350404793</v>
      </c>
      <c r="F4" s="5">
        <f>E4*(1+Assumptions!B32)</f>
        <v>414.81081975224748</v>
      </c>
      <c r="G4" s="5">
        <f>F4*(1+Assumptions!B32)</f>
        <v>425.01516591815277</v>
      </c>
    </row>
    <row r="5" spans="1:7" x14ac:dyDescent="0.2">
      <c r="A5" t="s">
        <v>39</v>
      </c>
      <c r="B5" s="5">
        <f>B4*Assumptions!$B$33</f>
        <v>61.353200000000001</v>
      </c>
      <c r="C5" s="5">
        <f>C4*Assumptions!$B$33</f>
        <v>62.469828239999998</v>
      </c>
      <c r="D5" s="5">
        <f>D4*Assumptions!$B$33</f>
        <v>64.406392915439994</v>
      </c>
      <c r="E5" s="5">
        <f>E4*Assumptions!$B$33</f>
        <v>65.990790181159809</v>
      </c>
      <c r="F5" s="5">
        <f>F4*Assumptions!$B$33</f>
        <v>67.614163619616349</v>
      </c>
      <c r="G5" s="5">
        <f>G4*Assumptions!$B$33</f>
        <v>69.277472044658907</v>
      </c>
    </row>
    <row r="6" spans="1:7" x14ac:dyDescent="0.2">
      <c r="A6" t="s">
        <v>40</v>
      </c>
      <c r="B6" s="6">
        <f t="shared" ref="B6:G6" si="0">B5/B4</f>
        <v>0.16300000000000001</v>
      </c>
      <c r="C6" s="6">
        <f t="shared" si="0"/>
        <v>0.16300000000000001</v>
      </c>
      <c r="D6" s="6">
        <f t="shared" si="0"/>
        <v>0.16300000000000001</v>
      </c>
      <c r="E6" s="6">
        <f t="shared" si="0"/>
        <v>0.16299999999999998</v>
      </c>
      <c r="F6" s="6">
        <f t="shared" si="0"/>
        <v>0.16300000000000003</v>
      </c>
      <c r="G6" s="6">
        <f t="shared" si="0"/>
        <v>0.16300000000000001</v>
      </c>
    </row>
    <row r="7" spans="1:7" x14ac:dyDescent="0.2">
      <c r="A7" t="s">
        <v>41</v>
      </c>
      <c r="B7" s="5">
        <f>B4*Assumptions!$B$34</f>
        <v>46.485399999999998</v>
      </c>
      <c r="C7" s="5">
        <f>C4*Assumptions!$B$34</f>
        <v>47.331434279999996</v>
      </c>
      <c r="D7" s="5">
        <f>D4*Assumptions!$B$34</f>
        <v>48.798708742679992</v>
      </c>
      <c r="E7" s="5">
        <f>E4*Assumptions!$B$34</f>
        <v>49.999156977749919</v>
      </c>
      <c r="F7" s="5">
        <f>F4*Assumptions!$B$34</f>
        <v>51.229136239402564</v>
      </c>
      <c r="G7" s="5">
        <f>G4*Assumptions!$B$34</f>
        <v>52.489372990891866</v>
      </c>
    </row>
    <row r="8" spans="1:7" x14ac:dyDescent="0.2">
      <c r="A8" t="s">
        <v>42</v>
      </c>
      <c r="B8" s="5">
        <f t="shared" ref="B8:G8" si="1">B5-B7</f>
        <v>14.867800000000003</v>
      </c>
      <c r="C8" s="5">
        <f t="shared" si="1"/>
        <v>15.138393960000002</v>
      </c>
      <c r="D8" s="5">
        <f t="shared" si="1"/>
        <v>15.607684172760003</v>
      </c>
      <c r="E8" s="5">
        <f t="shared" si="1"/>
        <v>15.99163320340989</v>
      </c>
      <c r="F8" s="5">
        <f t="shared" si="1"/>
        <v>16.385027380213785</v>
      </c>
      <c r="G8" s="5">
        <f t="shared" si="1"/>
        <v>16.788099053767041</v>
      </c>
    </row>
    <row r="10" spans="1:7" x14ac:dyDescent="0.2">
      <c r="A10" t="s">
        <v>43</v>
      </c>
      <c r="B10" s="5">
        <f>Debt_Schedule!B6*Assumptions!$B$26</f>
        <v>15.713112239999999</v>
      </c>
      <c r="C10" s="5">
        <f>Debt_Schedule!C6*Assumptions!$B$26</f>
        <v>15.713112239999999</v>
      </c>
      <c r="D10" s="5">
        <f>Debt_Schedule!D6*Assumptions!$B$26</f>
        <v>14.181003657953999</v>
      </c>
      <c r="E10" s="5">
        <f>Debt_Schedule!E6*Assumptions!$B$26</f>
        <v>12.519396280101759</v>
      </c>
      <c r="F10" s="5">
        <f>Debt_Schedule!F6*Assumptions!$B$26</f>
        <v>10.737280671264386</v>
      </c>
      <c r="G10" s="5">
        <f>Debt_Schedule!G6*Assumptions!$B$26</f>
        <v>8.8288515323029575</v>
      </c>
    </row>
    <row r="11" spans="1:7" x14ac:dyDescent="0.2">
      <c r="A11" t="s">
        <v>44</v>
      </c>
      <c r="B11" s="5">
        <f>Debt_Schedule!B11*Assumptions!$B$27</f>
        <v>9.0158065199999999</v>
      </c>
      <c r="C11" s="5">
        <f>Debt_Schedule!C11*Assumptions!$B$27</f>
        <v>9.0158065199999999</v>
      </c>
      <c r="D11" s="5">
        <f>Debt_Schedule!D11*Assumptions!$B$27</f>
        <v>9.0158065199999999</v>
      </c>
      <c r="E11" s="5">
        <f>Debt_Schedule!E11*Assumptions!$B$27</f>
        <v>9.0158065199999999</v>
      </c>
      <c r="F11" s="5">
        <f>Debt_Schedule!F11*Assumptions!$B$27</f>
        <v>9.0158065199999999</v>
      </c>
      <c r="G11" s="5">
        <f>Debt_Schedule!G11*Assumptions!$B$27</f>
        <v>9.0158065199999999</v>
      </c>
    </row>
    <row r="12" spans="1:7" x14ac:dyDescent="0.2">
      <c r="A12" t="s">
        <v>45</v>
      </c>
      <c r="B12" s="5">
        <f t="shared" ref="B12:G12" si="2">B10+B11</f>
        <v>24.728918759999999</v>
      </c>
      <c r="C12" s="5">
        <f t="shared" si="2"/>
        <v>24.728918759999999</v>
      </c>
      <c r="D12" s="5">
        <f t="shared" si="2"/>
        <v>23.196810177953999</v>
      </c>
      <c r="E12" s="5">
        <f t="shared" si="2"/>
        <v>21.535202800101757</v>
      </c>
      <c r="F12" s="5">
        <f t="shared" si="2"/>
        <v>19.753087191264385</v>
      </c>
      <c r="G12" s="5">
        <f t="shared" si="2"/>
        <v>17.844658052302957</v>
      </c>
    </row>
    <row r="13" spans="1:7" x14ac:dyDescent="0.2">
      <c r="A13" t="s">
        <v>46</v>
      </c>
      <c r="B13" s="5">
        <f t="shared" ref="B13:G13" si="3">B8-B12</f>
        <v>-9.8611187599999965</v>
      </c>
      <c r="C13" s="5">
        <f t="shared" si="3"/>
        <v>-9.5905247999999972</v>
      </c>
      <c r="D13" s="5">
        <f t="shared" si="3"/>
        <v>-7.5891260051939966</v>
      </c>
      <c r="E13" s="5">
        <f t="shared" si="3"/>
        <v>-5.5435695966918672</v>
      </c>
      <c r="F13" s="5">
        <f t="shared" si="3"/>
        <v>-3.3680598110505997</v>
      </c>
      <c r="G13" s="5">
        <f t="shared" si="3"/>
        <v>-1.0565589985359161</v>
      </c>
    </row>
    <row r="14" spans="1:7" x14ac:dyDescent="0.2">
      <c r="A14" t="s">
        <v>79</v>
      </c>
      <c r="B14" s="5">
        <f>B13*Assumptions!$B$35</f>
        <v>-2.4159740961999989</v>
      </c>
      <c r="C14" s="5">
        <f>C13*Assumptions!$B$35</f>
        <v>-2.3496785759999992</v>
      </c>
      <c r="D14" s="5">
        <f>D13*Assumptions!$B$35</f>
        <v>-1.8593358712725292</v>
      </c>
      <c r="E14" s="5">
        <f>E13*Assumptions!$B$35</f>
        <v>-1.3581745511895074</v>
      </c>
      <c r="F14" s="5">
        <f>F13*Assumptions!$B$35</f>
        <v>-0.82517465370739695</v>
      </c>
      <c r="G14" s="5">
        <f>G13*Assumptions!$B$35</f>
        <v>-0.25885695464129943</v>
      </c>
    </row>
    <row r="15" spans="1:7" x14ac:dyDescent="0.2">
      <c r="A15" t="s">
        <v>47</v>
      </c>
      <c r="B15" s="7">
        <f t="shared" ref="B15:G15" si="4">B13-B14</f>
        <v>-7.4451446637999972</v>
      </c>
      <c r="C15" s="7">
        <f t="shared" si="4"/>
        <v>-7.2408462239999984</v>
      </c>
      <c r="D15" s="7">
        <f t="shared" si="4"/>
        <v>-5.7297901339214672</v>
      </c>
      <c r="E15" s="7">
        <f t="shared" si="4"/>
        <v>-4.1853950455023599</v>
      </c>
      <c r="F15" s="7">
        <f t="shared" si="4"/>
        <v>-2.5428851573432025</v>
      </c>
      <c r="G15" s="7">
        <f t="shared" si="4"/>
        <v>-0.79770204389461663</v>
      </c>
    </row>
    <row r="17" spans="1:7" x14ac:dyDescent="0.2">
      <c r="A17" t="s">
        <v>81</v>
      </c>
      <c r="B17" s="5">
        <f>B12</f>
        <v>24.728918759999999</v>
      </c>
      <c r="C17" s="5">
        <f t="shared" ref="C17:G17" si="5">C12</f>
        <v>24.728918759999999</v>
      </c>
      <c r="D17" s="5">
        <f t="shared" si="5"/>
        <v>23.196810177953999</v>
      </c>
      <c r="E17" s="5">
        <f t="shared" si="5"/>
        <v>21.535202800101757</v>
      </c>
      <c r="F17" s="5">
        <f t="shared" si="5"/>
        <v>19.753087191264385</v>
      </c>
      <c r="G17" s="5">
        <f t="shared" si="5"/>
        <v>17.844658052302957</v>
      </c>
    </row>
    <row r="18" spans="1:7" x14ac:dyDescent="0.2">
      <c r="A18" t="s">
        <v>82</v>
      </c>
      <c r="B18" s="18">
        <f>B4*Assumptions!$B$37</f>
        <v>7.5279999999999996</v>
      </c>
      <c r="C18" s="18">
        <f>C4*Assumptions!$B$37</f>
        <v>7.6650095999999994</v>
      </c>
      <c r="D18" s="18">
        <f>D4*Assumptions!$B$37</f>
        <v>7.9026248975999991</v>
      </c>
      <c r="E18" s="18">
        <f>E4*Assumptions!$B$37</f>
        <v>8.0970294700809582</v>
      </c>
      <c r="F18" s="18">
        <f>F4*Assumptions!$B$37</f>
        <v>8.296216395044949</v>
      </c>
      <c r="G18" s="18">
        <f>G4*Assumptions!$B$37</f>
        <v>8.5003033183630556</v>
      </c>
    </row>
    <row r="19" spans="1:7" x14ac:dyDescent="0.2">
      <c r="A19" t="s">
        <v>83</v>
      </c>
      <c r="B19">
        <f>B4*Assumptions!$B$38</f>
        <v>0</v>
      </c>
      <c r="C19">
        <f>C4*Assumptions!$B$38</f>
        <v>0</v>
      </c>
      <c r="D19">
        <f>D4*Assumptions!$B$38</f>
        <v>0</v>
      </c>
      <c r="E19">
        <f>E4*Assumptions!$B$38</f>
        <v>0</v>
      </c>
      <c r="F19">
        <f>F4*Assumptions!$B$38</f>
        <v>0</v>
      </c>
      <c r="G19">
        <f>G4*Assumptions!$B$38</f>
        <v>0</v>
      </c>
    </row>
    <row r="20" spans="1:7" x14ac:dyDescent="0.2">
      <c r="A20" t="s">
        <v>84</v>
      </c>
      <c r="B20" s="5">
        <f>B14</f>
        <v>-2.4159740961999989</v>
      </c>
      <c r="C20" s="5">
        <f t="shared" ref="C20:G20" si="6">C14</f>
        <v>-2.3496785759999992</v>
      </c>
      <c r="D20" s="5">
        <f t="shared" si="6"/>
        <v>-1.8593358712725292</v>
      </c>
      <c r="E20" s="5">
        <f t="shared" si="6"/>
        <v>-1.3581745511895074</v>
      </c>
      <c r="F20" s="5">
        <f t="shared" si="6"/>
        <v>-0.82517465370739695</v>
      </c>
      <c r="G20" s="5">
        <f t="shared" si="6"/>
        <v>-0.25885695464129943</v>
      </c>
    </row>
    <row r="21" spans="1:7" x14ac:dyDescent="0.2">
      <c r="A21" t="s">
        <v>39</v>
      </c>
      <c r="B21" s="5">
        <f>B5</f>
        <v>61.353200000000001</v>
      </c>
      <c r="C21" s="5">
        <f t="shared" ref="C21:G21" si="7">C5</f>
        <v>62.469828239999998</v>
      </c>
      <c r="D21" s="5">
        <f t="shared" si="7"/>
        <v>64.406392915439994</v>
      </c>
      <c r="E21" s="5">
        <f t="shared" si="7"/>
        <v>65.990790181159809</v>
      </c>
      <c r="F21" s="5">
        <f t="shared" si="7"/>
        <v>67.614163619616349</v>
      </c>
      <c r="G21" s="5">
        <f t="shared" si="7"/>
        <v>69.277472044658907</v>
      </c>
    </row>
    <row r="22" spans="1:7" x14ac:dyDescent="0.2">
      <c r="A22" t="s">
        <v>85</v>
      </c>
      <c r="B22" s="5">
        <f>B21-B20-B19-B18-B17</f>
        <v>31.512255336199999</v>
      </c>
      <c r="C22" s="5">
        <f t="shared" ref="C22:G22" si="8">C21-C20-C19-C18-C17</f>
        <v>32.425578456000004</v>
      </c>
      <c r="D22" s="5">
        <f t="shared" si="8"/>
        <v>35.166293711158531</v>
      </c>
      <c r="E22" s="5">
        <f t="shared" si="8"/>
        <v>37.716732462166604</v>
      </c>
      <c r="F22" s="5">
        <f t="shared" si="8"/>
        <v>40.390034687014406</v>
      </c>
      <c r="G22" s="5">
        <f t="shared" si="8"/>
        <v>43.191367628634197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tabSelected="1" workbookViewId="0">
      <selection activeCell="I13" sqref="I13"/>
    </sheetView>
  </sheetViews>
  <sheetFormatPr baseColWidth="10" defaultColWidth="8.83203125" defaultRowHeight="15" x14ac:dyDescent="0.2"/>
  <cols>
    <col min="1" max="1" width="30" customWidth="1"/>
    <col min="2" max="7" width="13" customWidth="1"/>
  </cols>
  <sheetData>
    <row r="1" spans="1:7" ht="16" x14ac:dyDescent="0.2">
      <c r="A1" s="22" t="s">
        <v>48</v>
      </c>
      <c r="B1" s="21"/>
      <c r="C1" s="21"/>
      <c r="D1" s="21"/>
      <c r="E1" s="21"/>
      <c r="F1" s="21"/>
      <c r="G1" s="21"/>
    </row>
    <row r="3" spans="1:7" x14ac:dyDescent="0.2">
      <c r="A3" s="4" t="s">
        <v>31</v>
      </c>
      <c r="B3" s="4" t="s">
        <v>32</v>
      </c>
      <c r="C3" s="4" t="s">
        <v>33</v>
      </c>
      <c r="D3" s="4" t="s">
        <v>34</v>
      </c>
      <c r="E3" s="4" t="s">
        <v>35</v>
      </c>
      <c r="F3" s="4" t="s">
        <v>36</v>
      </c>
      <c r="G3" s="4" t="s">
        <v>37</v>
      </c>
    </row>
    <row r="5" spans="1:7" x14ac:dyDescent="0.2">
      <c r="A5" s="8" t="s">
        <v>49</v>
      </c>
    </row>
    <row r="6" spans="1:7" x14ac:dyDescent="0.2">
      <c r="A6" t="s">
        <v>50</v>
      </c>
      <c r="B6" s="19">
        <f>Assumptions!B22</f>
        <v>249.41448</v>
      </c>
      <c r="C6" s="19">
        <f>B7</f>
        <v>249.41448</v>
      </c>
      <c r="D6" s="19">
        <f>C7</f>
        <v>225.095296158</v>
      </c>
      <c r="E6" s="19">
        <f>D7</f>
        <v>198.72057587463109</v>
      </c>
      <c r="F6" s="19">
        <f>E7</f>
        <v>170.43302652800614</v>
      </c>
      <c r="G6" s="19">
        <f>F7</f>
        <v>140.14050051274535</v>
      </c>
    </row>
    <row r="7" spans="1:7" x14ac:dyDescent="0.2">
      <c r="A7" t="s">
        <v>51</v>
      </c>
      <c r="B7" s="19">
        <f>B6</f>
        <v>249.41448</v>
      </c>
      <c r="C7" s="19">
        <f>B7-Income_Statement!C22*Assumptions!$B$36</f>
        <v>225.095296158</v>
      </c>
      <c r="D7" s="19">
        <f>C7-Income_Statement!D22*Assumptions!$B$36</f>
        <v>198.72057587463109</v>
      </c>
      <c r="E7" s="19">
        <f>D7-Income_Statement!E22*Assumptions!$B$36</f>
        <v>170.43302652800614</v>
      </c>
      <c r="F7" s="19">
        <f>E7-Income_Statement!F22*Assumptions!$B$36</f>
        <v>140.14050051274535</v>
      </c>
      <c r="G7" s="19">
        <f>F7-Income_Statement!G22*Assumptions!$B$36</f>
        <v>107.74697479126971</v>
      </c>
    </row>
    <row r="8" spans="1:7" x14ac:dyDescent="0.2">
      <c r="B8" s="19"/>
      <c r="C8" s="19"/>
      <c r="D8" s="19"/>
      <c r="E8" s="19"/>
      <c r="F8" s="19"/>
      <c r="G8" s="19"/>
    </row>
    <row r="9" spans="1:7" x14ac:dyDescent="0.2">
      <c r="B9" s="19"/>
      <c r="C9" s="19"/>
      <c r="D9" s="19"/>
      <c r="E9" s="19"/>
      <c r="F9" s="19"/>
      <c r="G9" s="19"/>
    </row>
    <row r="10" spans="1:7" x14ac:dyDescent="0.2">
      <c r="A10" s="8" t="s">
        <v>52</v>
      </c>
      <c r="B10" s="19"/>
      <c r="C10" s="19"/>
      <c r="D10" s="19"/>
      <c r="E10" s="19"/>
      <c r="F10" s="19"/>
      <c r="G10" s="19"/>
    </row>
    <row r="11" spans="1:7" x14ac:dyDescent="0.2">
      <c r="A11" t="s">
        <v>50</v>
      </c>
      <c r="B11" s="19">
        <f>Assumptions!B23</f>
        <v>101.87352</v>
      </c>
      <c r="C11" s="19">
        <f>B12</f>
        <v>101.87352</v>
      </c>
      <c r="D11" s="19">
        <f>C12</f>
        <v>101.87352</v>
      </c>
      <c r="E11" s="19">
        <f>D12</f>
        <v>101.87352</v>
      </c>
      <c r="F11" s="19">
        <f>E12</f>
        <v>101.87352</v>
      </c>
      <c r="G11" s="19">
        <f>F12</f>
        <v>101.87352</v>
      </c>
    </row>
    <row r="12" spans="1:7" x14ac:dyDescent="0.2">
      <c r="A12" t="s">
        <v>51</v>
      </c>
      <c r="B12" s="19">
        <f t="shared" ref="B12:G12" si="0">B11</f>
        <v>101.87352</v>
      </c>
      <c r="C12" s="19">
        <f t="shared" si="0"/>
        <v>101.87352</v>
      </c>
      <c r="D12" s="19">
        <f t="shared" si="0"/>
        <v>101.87352</v>
      </c>
      <c r="E12" s="19">
        <f t="shared" si="0"/>
        <v>101.87352</v>
      </c>
      <c r="F12" s="19">
        <f t="shared" si="0"/>
        <v>101.87352</v>
      </c>
      <c r="G12" s="19">
        <f t="shared" si="0"/>
        <v>101.87352</v>
      </c>
    </row>
    <row r="13" spans="1:7" x14ac:dyDescent="0.2">
      <c r="B13" s="19"/>
      <c r="C13" s="19"/>
      <c r="D13" s="19"/>
      <c r="E13" s="19"/>
      <c r="F13" s="19"/>
      <c r="G13" s="19"/>
    </row>
    <row r="14" spans="1:7" x14ac:dyDescent="0.2">
      <c r="B14" s="19"/>
      <c r="C14" s="19"/>
      <c r="D14" s="19"/>
      <c r="E14" s="19"/>
      <c r="F14" s="19"/>
      <c r="G14" s="19"/>
    </row>
    <row r="15" spans="1:7" x14ac:dyDescent="0.2">
      <c r="A15" s="8" t="s">
        <v>53</v>
      </c>
      <c r="B15" s="19"/>
      <c r="C15" s="19"/>
      <c r="D15" s="19"/>
      <c r="E15" s="19"/>
      <c r="F15" s="19"/>
      <c r="G15" s="19"/>
    </row>
    <row r="16" spans="1:7" x14ac:dyDescent="0.2">
      <c r="A16" t="s">
        <v>54</v>
      </c>
      <c r="B16" s="19">
        <f t="shared" ref="B16:G16" si="1">B7+B12</f>
        <v>351.28800000000001</v>
      </c>
      <c r="C16" s="19">
        <f>C7+C12</f>
        <v>326.96881615799998</v>
      </c>
      <c r="D16" s="19">
        <f t="shared" si="1"/>
        <v>300.59409587463108</v>
      </c>
      <c r="E16" s="19">
        <f t="shared" si="1"/>
        <v>272.30654652800615</v>
      </c>
      <c r="F16" s="19">
        <f t="shared" si="1"/>
        <v>242.01402051274533</v>
      </c>
      <c r="G16" s="19">
        <f t="shared" si="1"/>
        <v>209.62049479126972</v>
      </c>
    </row>
    <row r="18" spans="1:7" x14ac:dyDescent="0.2">
      <c r="A18" t="s">
        <v>55</v>
      </c>
      <c r="B18" s="9">
        <f>B16/Income_Statement!B5</f>
        <v>5.7256671208673717</v>
      </c>
      <c r="C18" s="9">
        <f>C16/Income_Statement!C5</f>
        <v>5.2340277758061591</v>
      </c>
      <c r="D18" s="9">
        <f>D16/Income_Statement!D5</f>
        <v>4.6671468819762199</v>
      </c>
      <c r="E18" s="9">
        <f>E16/Income_Statement!E5</f>
        <v>4.1264325791593404</v>
      </c>
      <c r="F18" s="9">
        <f>F16/Income_Statement!F5</f>
        <v>3.5793391141280311</v>
      </c>
      <c r="G18" s="9">
        <f>G16/Income_Statement!G5</f>
        <v>3.0258103912357011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4"/>
  <sheetViews>
    <sheetView workbookViewId="0">
      <selection activeCell="F16" sqref="F16"/>
    </sheetView>
  </sheetViews>
  <sheetFormatPr baseColWidth="10" defaultColWidth="8.83203125" defaultRowHeight="15" x14ac:dyDescent="0.2"/>
  <cols>
    <col min="1" max="1" width="35" customWidth="1"/>
    <col min="2" max="2" width="15" customWidth="1"/>
  </cols>
  <sheetData>
    <row r="1" spans="1:3" ht="16" x14ac:dyDescent="0.2">
      <c r="A1" s="22" t="s">
        <v>56</v>
      </c>
      <c r="B1" s="21"/>
      <c r="C1" s="21"/>
    </row>
    <row r="3" spans="1:3" x14ac:dyDescent="0.2">
      <c r="A3" s="2" t="s">
        <v>57</v>
      </c>
    </row>
    <row r="4" spans="1:3" x14ac:dyDescent="0.2">
      <c r="A4" t="s">
        <v>58</v>
      </c>
      <c r="B4" s="5">
        <f>Income_Statement!G4</f>
        <v>425.01516591815277</v>
      </c>
    </row>
    <row r="5" spans="1:3" x14ac:dyDescent="0.2">
      <c r="A5" t="s">
        <v>59</v>
      </c>
      <c r="B5" s="5">
        <f>Income_Statement!G5</f>
        <v>69.277472044658907</v>
      </c>
    </row>
    <row r="6" spans="1:3" x14ac:dyDescent="0.2">
      <c r="A6" t="s">
        <v>60</v>
      </c>
      <c r="B6" s="9">
        <f>Assumptions!B41</f>
        <v>9.52</v>
      </c>
    </row>
    <row r="7" spans="1:3" x14ac:dyDescent="0.2">
      <c r="A7" t="s">
        <v>61</v>
      </c>
      <c r="B7" s="10">
        <f>B5*B6</f>
        <v>659.52153386515272</v>
      </c>
    </row>
    <row r="9" spans="1:3" x14ac:dyDescent="0.2">
      <c r="A9" s="2" t="s">
        <v>62</v>
      </c>
    </row>
    <row r="10" spans="1:3" x14ac:dyDescent="0.2">
      <c r="A10" t="s">
        <v>63</v>
      </c>
      <c r="B10" s="5">
        <f>Debt_Schedule!G7</f>
        <v>107.74697479126971</v>
      </c>
    </row>
    <row r="11" spans="1:3" x14ac:dyDescent="0.2">
      <c r="A11" t="s">
        <v>64</v>
      </c>
      <c r="B11" s="5">
        <f>Debt_Schedule!G12</f>
        <v>101.87352</v>
      </c>
    </row>
    <row r="12" spans="1:3" x14ac:dyDescent="0.2">
      <c r="A12" t="s">
        <v>65</v>
      </c>
      <c r="B12" s="5">
        <f>B10+B11</f>
        <v>209.62049479126972</v>
      </c>
    </row>
    <row r="14" spans="1:3" x14ac:dyDescent="0.2">
      <c r="A14" s="2" t="s">
        <v>66</v>
      </c>
      <c r="B14" s="10">
        <f>B7-B12</f>
        <v>449.901039073883</v>
      </c>
    </row>
    <row r="16" spans="1:3" x14ac:dyDescent="0.2">
      <c r="A16" s="2" t="s">
        <v>67</v>
      </c>
      <c r="B16" s="5">
        <f>Assumptions!B19</f>
        <v>234.19200000000001</v>
      </c>
    </row>
    <row r="18" spans="1:2" x14ac:dyDescent="0.2">
      <c r="A18" s="2" t="s">
        <v>68</v>
      </c>
    </row>
    <row r="19" spans="1:2" ht="16" x14ac:dyDescent="0.2">
      <c r="A19" t="s">
        <v>69</v>
      </c>
      <c r="B19" s="11">
        <f>B14/B16</f>
        <v>1.9210777442179194</v>
      </c>
    </row>
    <row r="20" spans="1:2" ht="16" x14ac:dyDescent="0.2">
      <c r="A20" t="s">
        <v>70</v>
      </c>
      <c r="B20" s="12">
        <f>(B14/B16)^(1/5)-1</f>
        <v>0.13948598541013424</v>
      </c>
    </row>
    <row r="22" spans="1:2" x14ac:dyDescent="0.2">
      <c r="A22" s="2" t="s">
        <v>71</v>
      </c>
    </row>
    <row r="23" spans="1:2" x14ac:dyDescent="0.2">
      <c r="A23" t="s">
        <v>72</v>
      </c>
      <c r="B23" s="9">
        <f>Assumptions!B21</f>
        <v>5.7119999999999997</v>
      </c>
    </row>
    <row r="24" spans="1:2" x14ac:dyDescent="0.2">
      <c r="A24" t="s">
        <v>73</v>
      </c>
      <c r="B24" s="9">
        <f>B12/B5</f>
        <v>3.0258103912357011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Income_Statement</vt:lpstr>
      <vt:lpstr>Debt_Schedule</vt:lpstr>
      <vt:lpstr>Exit_Analysis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Hlib Papanov</cp:lastModifiedBy>
  <dcterms:created xsi:type="dcterms:W3CDTF">2026-09-18T11:25:48Z</dcterms:created>
  <dcterms:modified xsi:type="dcterms:W3CDTF">2026-09-18T13:00:30Z</dcterms:modified>
</cp:coreProperties>
</file>