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filterPrivacy="1"/>
  <xr:revisionPtr revIDLastSave="0" documentId="8_{C8320BDF-402B-5A49-9B83-0E23C5F9B0CB}" xr6:coauthVersionLast="47" xr6:coauthVersionMax="47" xr10:uidLastSave="{00000000-0000-0000-0000-000000000000}"/>
  <bookViews>
    <workbookView xWindow="0" yWindow="680" windowWidth="25600" windowHeight="14760" xr2:uid="{970C900A-6A40-BF48-BAC3-DCAE118AD22E}"/>
  </bookViews>
  <sheets>
    <sheet name="Data" sheetId="4" r:id="rId1"/>
    <sheet name="BENCHMARKS" sheetId="5" r:id="rId2"/>
    <sheet name="Screening" sheetId="1" r:id="rId3"/>
  </sheets>
  <definedNames>
    <definedName name="_xlnm._FilterDatabase" localSheetId="0" hidden="1">Data!$A$1:$G$549</definedName>
    <definedName name="_xlnm.Print_Titles" localSheetId="2">Screening!#REF!</definedName>
  </definedNames>
  <calcPr calcId="191029"/>
  <fileRecoveryPr autoRecover="0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5" l="1"/>
  <c r="D2" i="5"/>
  <c r="E2" i="5"/>
  <c r="C3" i="5"/>
  <c r="D3" i="5"/>
  <c r="E3" i="5"/>
  <c r="C4" i="5"/>
  <c r="D4" i="5"/>
  <c r="E4" i="5"/>
  <c r="C5" i="5"/>
  <c r="D5" i="5"/>
  <c r="E5" i="5"/>
  <c r="C6" i="5"/>
  <c r="D6" i="5"/>
  <c r="E6" i="5"/>
  <c r="C7" i="5"/>
  <c r="D7" i="5"/>
  <c r="E7" i="5"/>
  <c r="C8" i="5"/>
  <c r="D8" i="5"/>
  <c r="E8" i="5"/>
  <c r="B7" i="5"/>
  <c r="B6" i="5"/>
  <c r="B8" i="5"/>
  <c r="B5" i="5"/>
  <c r="B4" i="5"/>
  <c r="B3" i="5"/>
  <c r="B2" i="5"/>
  <c r="F428" i="4"/>
  <c r="G476" i="4"/>
  <c r="F360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G25" i="4"/>
  <c r="E26" i="4"/>
  <c r="E27" i="4"/>
  <c r="G27" i="4"/>
  <c r="E28" i="4"/>
  <c r="E29" i="4"/>
  <c r="E30" i="4"/>
  <c r="E31" i="4"/>
  <c r="G31" i="4"/>
  <c r="E32" i="4"/>
  <c r="E33" i="4"/>
  <c r="E34" i="4"/>
  <c r="E35" i="4"/>
  <c r="G35" i="4"/>
  <c r="E36" i="4"/>
  <c r="E37" i="4"/>
  <c r="E38" i="4"/>
  <c r="E39" i="4"/>
  <c r="E40" i="4"/>
  <c r="E41" i="4"/>
  <c r="G41" i="4" s="1"/>
  <c r="E42" i="4"/>
  <c r="E43" i="4"/>
  <c r="G43" i="4" s="1"/>
  <c r="E44" i="4"/>
  <c r="E45" i="4"/>
  <c r="E46" i="4"/>
  <c r="E47" i="4"/>
  <c r="E48" i="4"/>
  <c r="G48" i="4" s="1"/>
  <c r="E49" i="4"/>
  <c r="E50" i="4"/>
  <c r="E51" i="4"/>
  <c r="G51" i="4" s="1"/>
  <c r="E52" i="4"/>
  <c r="E53" i="4"/>
  <c r="E54" i="4"/>
  <c r="E55" i="4"/>
  <c r="G55" i="4"/>
  <c r="E56" i="4"/>
  <c r="G56" i="4" s="1"/>
  <c r="E57" i="4"/>
  <c r="E58" i="4"/>
  <c r="F58" i="4" s="1"/>
  <c r="E59" i="4"/>
  <c r="G59" i="4" s="1"/>
  <c r="E60" i="4"/>
  <c r="E61" i="4"/>
  <c r="E62" i="4"/>
  <c r="E63" i="4"/>
  <c r="E64" i="4"/>
  <c r="E65" i="4"/>
  <c r="G65" i="4"/>
  <c r="E66" i="4"/>
  <c r="E67" i="4"/>
  <c r="E68" i="4"/>
  <c r="E69" i="4"/>
  <c r="E70" i="4"/>
  <c r="E71" i="4"/>
  <c r="G71" i="4"/>
  <c r="E72" i="4"/>
  <c r="E73" i="4"/>
  <c r="G73" i="4"/>
  <c r="E74" i="4"/>
  <c r="E75" i="4"/>
  <c r="E76" i="4"/>
  <c r="E77" i="4"/>
  <c r="E78" i="4"/>
  <c r="E79" i="4"/>
  <c r="E80" i="4"/>
  <c r="E81" i="4"/>
  <c r="G81" i="4" s="1"/>
  <c r="E82" i="4"/>
  <c r="G82" i="4" s="1"/>
  <c r="E83" i="4"/>
  <c r="E84" i="4"/>
  <c r="E85" i="4"/>
  <c r="E86" i="4"/>
  <c r="E87" i="4"/>
  <c r="E88" i="4"/>
  <c r="E89" i="4"/>
  <c r="E90" i="4"/>
  <c r="E91" i="4"/>
  <c r="G91" i="4" s="1"/>
  <c r="E92" i="4"/>
  <c r="G92" i="4" s="1"/>
  <c r="E93" i="4"/>
  <c r="G93" i="4" s="1"/>
  <c r="E94" i="4"/>
  <c r="E95" i="4"/>
  <c r="E96" i="4"/>
  <c r="G96" i="4" s="1"/>
  <c r="E97" i="4"/>
  <c r="G97" i="4" s="1"/>
  <c r="E98" i="4"/>
  <c r="E99" i="4"/>
  <c r="E100" i="4"/>
  <c r="E101" i="4"/>
  <c r="E102" i="4"/>
  <c r="E103" i="4"/>
  <c r="G103" i="4"/>
  <c r="E104" i="4"/>
  <c r="E105" i="4"/>
  <c r="E106" i="4"/>
  <c r="E107" i="4"/>
  <c r="E108" i="4"/>
  <c r="E109" i="4"/>
  <c r="E110" i="4"/>
  <c r="E111" i="4"/>
  <c r="E112" i="4"/>
  <c r="F112" i="4" s="1"/>
  <c r="E113" i="4"/>
  <c r="E114" i="4"/>
  <c r="E115" i="4"/>
  <c r="G115" i="4" s="1"/>
  <c r="E116" i="4"/>
  <c r="E117" i="4"/>
  <c r="E118" i="4"/>
  <c r="E119" i="4"/>
  <c r="E120" i="4"/>
  <c r="E121" i="4"/>
  <c r="G121" i="4" s="1"/>
  <c r="E122" i="4"/>
  <c r="E123" i="4"/>
  <c r="G123" i="4"/>
  <c r="E124" i="4"/>
  <c r="E125" i="4"/>
  <c r="G125" i="4" s="1"/>
  <c r="E126" i="4"/>
  <c r="E127" i="4"/>
  <c r="E128" i="4"/>
  <c r="E129" i="4"/>
  <c r="E130" i="4"/>
  <c r="E131" i="4"/>
  <c r="G131" i="4" s="1"/>
  <c r="E132" i="4"/>
  <c r="E133" i="4"/>
  <c r="E134" i="4"/>
  <c r="E135" i="4"/>
  <c r="G135" i="4" s="1"/>
  <c r="E136" i="4"/>
  <c r="G136" i="4" s="1"/>
  <c r="E137" i="4"/>
  <c r="E138" i="4"/>
  <c r="E139" i="4"/>
  <c r="F139" i="4" s="1"/>
  <c r="E140" i="4"/>
  <c r="E141" i="4"/>
  <c r="E142" i="4"/>
  <c r="E143" i="4"/>
  <c r="E144" i="4"/>
  <c r="E145" i="4"/>
  <c r="G145" i="4" s="1"/>
  <c r="E146" i="4"/>
  <c r="E147" i="4"/>
  <c r="F147" i="4" s="1"/>
  <c r="G147" i="4"/>
  <c r="E148" i="4"/>
  <c r="E149" i="4"/>
  <c r="E150" i="4"/>
  <c r="E151" i="4"/>
  <c r="E152" i="4"/>
  <c r="E153" i="4"/>
  <c r="E154" i="4"/>
  <c r="E155" i="4"/>
  <c r="G155" i="4" s="1"/>
  <c r="E156" i="4"/>
  <c r="E157" i="4"/>
  <c r="E158" i="4"/>
  <c r="G158" i="4" s="1"/>
  <c r="E159" i="4"/>
  <c r="E160" i="4"/>
  <c r="E161" i="4"/>
  <c r="G161" i="4" s="1"/>
  <c r="E162" i="4"/>
  <c r="E163" i="4"/>
  <c r="E164" i="4"/>
  <c r="E165" i="4"/>
  <c r="G165" i="4"/>
  <c r="E166" i="4"/>
  <c r="E167" i="4"/>
  <c r="G167" i="4" s="1"/>
  <c r="E168" i="4"/>
  <c r="E169" i="4"/>
  <c r="E170" i="4"/>
  <c r="E171" i="4"/>
  <c r="E172" i="4"/>
  <c r="E173" i="4"/>
  <c r="G173" i="4"/>
  <c r="E174" i="4"/>
  <c r="G174" i="4" s="1"/>
  <c r="E175" i="4"/>
  <c r="G175" i="4"/>
  <c r="E176" i="4"/>
  <c r="E177" i="4"/>
  <c r="E178" i="4"/>
  <c r="E179" i="4"/>
  <c r="E180" i="4"/>
  <c r="E181" i="4"/>
  <c r="G181" i="4"/>
  <c r="E182" i="4"/>
  <c r="E183" i="4"/>
  <c r="F183" i="4" s="1"/>
  <c r="G183" i="4"/>
  <c r="E184" i="4"/>
  <c r="G184" i="4" s="1"/>
  <c r="E185" i="4"/>
  <c r="E186" i="4"/>
  <c r="E187" i="4"/>
  <c r="E188" i="4"/>
  <c r="E189" i="4"/>
  <c r="E190" i="4"/>
  <c r="G190" i="4" s="1"/>
  <c r="E191" i="4"/>
  <c r="G191" i="4"/>
  <c r="E192" i="4"/>
  <c r="E193" i="4"/>
  <c r="G193" i="4" s="1"/>
  <c r="E194" i="4"/>
  <c r="E195" i="4"/>
  <c r="E196" i="4"/>
  <c r="E197" i="4"/>
  <c r="E198" i="4"/>
  <c r="E199" i="4"/>
  <c r="E200" i="4"/>
  <c r="E201" i="4"/>
  <c r="G201" i="4" s="1"/>
  <c r="E202" i="4"/>
  <c r="E203" i="4"/>
  <c r="E204" i="4"/>
  <c r="E205" i="4"/>
  <c r="E206" i="4"/>
  <c r="E207" i="4"/>
  <c r="G207" i="4"/>
  <c r="E208" i="4"/>
  <c r="E209" i="4"/>
  <c r="E210" i="4"/>
  <c r="E211" i="4"/>
  <c r="G211" i="4" s="1"/>
  <c r="E212" i="4"/>
  <c r="E213" i="4"/>
  <c r="E214" i="4"/>
  <c r="E215" i="4"/>
  <c r="E216" i="4"/>
  <c r="E217" i="4"/>
  <c r="G217" i="4" s="1"/>
  <c r="E218" i="4"/>
  <c r="E219" i="4"/>
  <c r="E220" i="4"/>
  <c r="E221" i="4"/>
  <c r="E222" i="4"/>
  <c r="E223" i="4"/>
  <c r="E224" i="4"/>
  <c r="E225" i="4"/>
  <c r="E226" i="4"/>
  <c r="E227" i="4"/>
  <c r="G227" i="4" s="1"/>
  <c r="E228" i="4"/>
  <c r="E229" i="4"/>
  <c r="G229" i="4" s="1"/>
  <c r="E230" i="4"/>
  <c r="E231" i="4"/>
  <c r="E232" i="4"/>
  <c r="E233" i="4"/>
  <c r="E234" i="4"/>
  <c r="E235" i="4"/>
  <c r="G235" i="4"/>
  <c r="E236" i="4"/>
  <c r="E237" i="4"/>
  <c r="E238" i="4"/>
  <c r="E239" i="4"/>
  <c r="E240" i="4"/>
  <c r="E241" i="4"/>
  <c r="E242" i="4"/>
  <c r="E243" i="4"/>
  <c r="E244" i="4"/>
  <c r="F244" i="4" s="1"/>
  <c r="E245" i="4"/>
  <c r="G245" i="4" s="1"/>
  <c r="E246" i="4"/>
  <c r="G246" i="4"/>
  <c r="E247" i="4"/>
  <c r="G247" i="4" s="1"/>
  <c r="E248" i="4"/>
  <c r="E249" i="4"/>
  <c r="E250" i="4"/>
  <c r="E251" i="4"/>
  <c r="E252" i="4"/>
  <c r="F252" i="4" s="1"/>
  <c r="E253" i="4"/>
  <c r="E254" i="4"/>
  <c r="E255" i="4"/>
  <c r="G255" i="4" s="1"/>
  <c r="E256" i="4"/>
  <c r="E257" i="4"/>
  <c r="E258" i="4"/>
  <c r="E259" i="4"/>
  <c r="E260" i="4"/>
  <c r="E261" i="4"/>
  <c r="E262" i="4"/>
  <c r="E263" i="4"/>
  <c r="E264" i="4"/>
  <c r="E265" i="4"/>
  <c r="G265" i="4" s="1"/>
  <c r="E266" i="4"/>
  <c r="E267" i="4"/>
  <c r="G267" i="4" s="1"/>
  <c r="E268" i="4"/>
  <c r="E269" i="4"/>
  <c r="F269" i="4" s="1"/>
  <c r="G269" i="4"/>
  <c r="E270" i="4"/>
  <c r="E271" i="4"/>
  <c r="E272" i="4"/>
  <c r="E273" i="4"/>
  <c r="E274" i="4"/>
  <c r="G274" i="4" s="1"/>
  <c r="E275" i="4"/>
  <c r="G275" i="4"/>
  <c r="E276" i="4"/>
  <c r="E277" i="4"/>
  <c r="E278" i="4"/>
  <c r="E279" i="4"/>
  <c r="E280" i="4"/>
  <c r="E281" i="4"/>
  <c r="E282" i="4"/>
  <c r="E283" i="4"/>
  <c r="G283" i="4"/>
  <c r="E284" i="4"/>
  <c r="G284" i="4" s="1"/>
  <c r="E285" i="4"/>
  <c r="G285" i="4"/>
  <c r="E286" i="4"/>
  <c r="E287" i="4"/>
  <c r="E288" i="4"/>
  <c r="E289" i="4"/>
  <c r="E290" i="4"/>
  <c r="E291" i="4"/>
  <c r="E292" i="4"/>
  <c r="G292" i="4" s="1"/>
  <c r="E293" i="4"/>
  <c r="G293" i="4"/>
  <c r="E294" i="4"/>
  <c r="E295" i="4"/>
  <c r="G295" i="4" s="1"/>
  <c r="E296" i="4"/>
  <c r="E297" i="4"/>
  <c r="E298" i="4"/>
  <c r="E299" i="4"/>
  <c r="E300" i="4"/>
  <c r="E301" i="4"/>
  <c r="G301" i="4" s="1"/>
  <c r="E302" i="4"/>
  <c r="E303" i="4"/>
  <c r="G303" i="4" s="1"/>
  <c r="E304" i="4"/>
  <c r="E305" i="4"/>
  <c r="G305" i="4" s="1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G318" i="4" s="1"/>
  <c r="E319" i="4"/>
  <c r="E320" i="4"/>
  <c r="G320" i="4" s="1"/>
  <c r="E321" i="4"/>
  <c r="E322" i="4"/>
  <c r="G322" i="4" s="1"/>
  <c r="E323" i="4"/>
  <c r="G323" i="4" s="1"/>
  <c r="E324" i="4"/>
  <c r="E325" i="4"/>
  <c r="G325" i="4" s="1"/>
  <c r="E326" i="4"/>
  <c r="E327" i="4"/>
  <c r="E328" i="4"/>
  <c r="E329" i="4"/>
  <c r="G329" i="4"/>
  <c r="E330" i="4"/>
  <c r="E331" i="4"/>
  <c r="E332" i="4"/>
  <c r="E333" i="4"/>
  <c r="E334" i="4"/>
  <c r="E335" i="4"/>
  <c r="E336" i="4"/>
  <c r="E337" i="4"/>
  <c r="E338" i="4"/>
  <c r="E339" i="4"/>
  <c r="G339" i="4" s="1"/>
  <c r="E340" i="4"/>
  <c r="E341" i="4"/>
  <c r="E342" i="4"/>
  <c r="E343" i="4"/>
  <c r="E344" i="4"/>
  <c r="E345" i="4"/>
  <c r="G345" i="4" s="1"/>
  <c r="E346" i="4"/>
  <c r="G346" i="4" s="1"/>
  <c r="E347" i="4"/>
  <c r="E348" i="4"/>
  <c r="G348" i="4" s="1"/>
  <c r="E349" i="4"/>
  <c r="F349" i="4" s="1"/>
  <c r="E350" i="4"/>
  <c r="E351" i="4"/>
  <c r="E352" i="4"/>
  <c r="E353" i="4"/>
  <c r="E354" i="4"/>
  <c r="E355" i="4"/>
  <c r="G355" i="4"/>
  <c r="E356" i="4"/>
  <c r="E357" i="4"/>
  <c r="G357" i="4" s="1"/>
  <c r="E358" i="4"/>
  <c r="F358" i="4" s="1"/>
  <c r="E359" i="4"/>
  <c r="G359" i="4" s="1"/>
  <c r="E360" i="4"/>
  <c r="E361" i="4"/>
  <c r="E362" i="4"/>
  <c r="E363" i="4"/>
  <c r="E364" i="4"/>
  <c r="G364" i="4" s="1"/>
  <c r="E365" i="4"/>
  <c r="G365" i="4"/>
  <c r="E366" i="4"/>
  <c r="E367" i="4"/>
  <c r="E368" i="4"/>
  <c r="E369" i="4"/>
  <c r="E370" i="4"/>
  <c r="E371" i="4"/>
  <c r="E372" i="4"/>
  <c r="E373" i="4"/>
  <c r="F373" i="4" s="1"/>
  <c r="G373" i="4"/>
  <c r="E374" i="4"/>
  <c r="G374" i="4" s="1"/>
  <c r="E375" i="4"/>
  <c r="G375" i="4" s="1"/>
  <c r="E376" i="4"/>
  <c r="E377" i="4"/>
  <c r="E378" i="4"/>
  <c r="E379" i="4"/>
  <c r="E380" i="4"/>
  <c r="E381" i="4"/>
  <c r="E382" i="4"/>
  <c r="E383" i="4"/>
  <c r="G383" i="4" s="1"/>
  <c r="E384" i="4"/>
  <c r="E385" i="4"/>
  <c r="E386" i="4"/>
  <c r="G386" i="4" s="1"/>
  <c r="E387" i="4"/>
  <c r="G387" i="4" s="1"/>
  <c r="E388" i="4"/>
  <c r="E389" i="4"/>
  <c r="E390" i="4"/>
  <c r="E391" i="4"/>
  <c r="E392" i="4"/>
  <c r="E393" i="4"/>
  <c r="E394" i="4"/>
  <c r="E395" i="4"/>
  <c r="E396" i="4"/>
  <c r="G396" i="4" s="1"/>
  <c r="E397" i="4"/>
  <c r="E398" i="4"/>
  <c r="E399" i="4"/>
  <c r="E400" i="4"/>
  <c r="E401" i="4"/>
  <c r="E402" i="4"/>
  <c r="E403" i="4"/>
  <c r="E404" i="4"/>
  <c r="E405" i="4"/>
  <c r="G405" i="4" s="1"/>
  <c r="E406" i="4"/>
  <c r="E407" i="4"/>
  <c r="E408" i="4"/>
  <c r="E409" i="4"/>
  <c r="E410" i="4"/>
  <c r="E411" i="4"/>
  <c r="E412" i="4"/>
  <c r="E413" i="4"/>
  <c r="E414" i="4"/>
  <c r="E415" i="4"/>
  <c r="G415" i="4" s="1"/>
  <c r="E416" i="4"/>
  <c r="E417" i="4"/>
  <c r="E418" i="4"/>
  <c r="G418" i="4" s="1"/>
  <c r="E419" i="4"/>
  <c r="E420" i="4"/>
  <c r="E421" i="4"/>
  <c r="E422" i="4"/>
  <c r="E423" i="4"/>
  <c r="E424" i="4"/>
  <c r="E425" i="4"/>
  <c r="G425" i="4"/>
  <c r="E426" i="4"/>
  <c r="G426" i="4" s="1"/>
  <c r="E427" i="4"/>
  <c r="E428" i="4"/>
  <c r="E429" i="4"/>
  <c r="E430" i="4"/>
  <c r="E431" i="4"/>
  <c r="E432" i="4"/>
  <c r="G432" i="4"/>
  <c r="E433" i="4"/>
  <c r="G433" i="4"/>
  <c r="E434" i="4"/>
  <c r="F434" i="4" s="1"/>
  <c r="E435" i="4"/>
  <c r="G435" i="4" s="1"/>
  <c r="E436" i="4"/>
  <c r="E437" i="4"/>
  <c r="E438" i="4"/>
  <c r="E439" i="4"/>
  <c r="E440" i="4"/>
  <c r="G440" i="4" s="1"/>
  <c r="E441" i="4"/>
  <c r="F441" i="4" s="1"/>
  <c r="E442" i="4"/>
  <c r="E443" i="4"/>
  <c r="E444" i="4"/>
  <c r="E445" i="4"/>
  <c r="E446" i="4"/>
  <c r="G446" i="4" s="1"/>
  <c r="E447" i="4"/>
  <c r="E448" i="4"/>
  <c r="E449" i="4"/>
  <c r="E450" i="4"/>
  <c r="E451" i="4"/>
  <c r="G451" i="4" s="1"/>
  <c r="E452" i="4"/>
  <c r="G452" i="4" s="1"/>
  <c r="E453" i="4"/>
  <c r="G453" i="4" s="1"/>
  <c r="E454" i="4"/>
  <c r="E455" i="4"/>
  <c r="E456" i="4"/>
  <c r="E457" i="4"/>
  <c r="E458" i="4"/>
  <c r="E459" i="4"/>
  <c r="E460" i="4"/>
  <c r="G460" i="4" s="1"/>
  <c r="E461" i="4"/>
  <c r="E462" i="4"/>
  <c r="E463" i="4"/>
  <c r="E464" i="4"/>
  <c r="E465" i="4"/>
  <c r="E466" i="4"/>
  <c r="G466" i="4"/>
  <c r="E467" i="4"/>
  <c r="E468" i="4"/>
  <c r="E469" i="4"/>
  <c r="E470" i="4"/>
  <c r="E471" i="4"/>
  <c r="G471" i="4" s="1"/>
  <c r="E472" i="4"/>
  <c r="E473" i="4"/>
  <c r="G473" i="4" s="1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G493" i="4" s="1"/>
  <c r="E494" i="4"/>
  <c r="E495" i="4"/>
  <c r="E496" i="4"/>
  <c r="G496" i="4" s="1"/>
  <c r="E497" i="4"/>
  <c r="G497" i="4"/>
  <c r="E498" i="4"/>
  <c r="E499" i="4"/>
  <c r="F499" i="4" s="1"/>
  <c r="E500" i="4"/>
  <c r="E501" i="4"/>
  <c r="E502" i="4"/>
  <c r="E503" i="4"/>
  <c r="G503" i="4"/>
  <c r="E504" i="4"/>
  <c r="E505" i="4"/>
  <c r="G505" i="4"/>
  <c r="E506" i="4"/>
  <c r="E507" i="4"/>
  <c r="E508" i="4"/>
  <c r="E509" i="4"/>
  <c r="E510" i="4"/>
  <c r="E511" i="4"/>
  <c r="E512" i="4"/>
  <c r="E513" i="4"/>
  <c r="G513" i="4" s="1"/>
  <c r="E514" i="4"/>
  <c r="E515" i="4"/>
  <c r="E516" i="4"/>
  <c r="E517" i="4"/>
  <c r="G517" i="4"/>
  <c r="E518" i="4"/>
  <c r="E519" i="4"/>
  <c r="E520" i="4"/>
  <c r="E521" i="4"/>
  <c r="E522" i="4"/>
  <c r="E523" i="4"/>
  <c r="G523" i="4" s="1"/>
  <c r="E524" i="4"/>
  <c r="G524" i="4"/>
  <c r="E525" i="4"/>
  <c r="G525" i="4"/>
  <c r="E526" i="4"/>
  <c r="E527" i="4"/>
  <c r="E528" i="4"/>
  <c r="E529" i="4"/>
  <c r="E530" i="4"/>
  <c r="E531" i="4"/>
  <c r="E532" i="4"/>
  <c r="E533" i="4"/>
  <c r="G533" i="4"/>
  <c r="E534" i="4"/>
  <c r="G534" i="4" s="1"/>
  <c r="E535" i="4"/>
  <c r="G535" i="4"/>
  <c r="E536" i="4"/>
  <c r="E537" i="4"/>
  <c r="E538" i="4"/>
  <c r="E539" i="4"/>
  <c r="E540" i="4"/>
  <c r="G540" i="4" s="1"/>
  <c r="E541" i="4"/>
  <c r="E542" i="4"/>
  <c r="F542" i="4" s="1"/>
  <c r="E543" i="4"/>
  <c r="G543" i="4" s="1"/>
  <c r="E544" i="4"/>
  <c r="E545" i="4"/>
  <c r="E546" i="4"/>
  <c r="E547" i="4"/>
  <c r="G547" i="4" s="1"/>
  <c r="E548" i="4"/>
  <c r="E549" i="4"/>
  <c r="G549" i="4" s="1"/>
  <c r="D5" i="4"/>
  <c r="G5" i="4" s="1"/>
  <c r="D6" i="4"/>
  <c r="D7" i="4"/>
  <c r="D8" i="4"/>
  <c r="D9" i="4"/>
  <c r="G9" i="4"/>
  <c r="D10" i="4"/>
  <c r="D11" i="4"/>
  <c r="D12" i="4"/>
  <c r="D13" i="4"/>
  <c r="G13" i="4" s="1"/>
  <c r="D14" i="4"/>
  <c r="G14" i="4" s="1"/>
  <c r="D15" i="4"/>
  <c r="G15" i="4" s="1"/>
  <c r="D16" i="4"/>
  <c r="D17" i="4"/>
  <c r="D18" i="4"/>
  <c r="D19" i="4"/>
  <c r="D20" i="4"/>
  <c r="D21" i="4"/>
  <c r="G21" i="4" s="1"/>
  <c r="D22" i="4"/>
  <c r="D23" i="4"/>
  <c r="G23" i="4" s="1"/>
  <c r="D24" i="4"/>
  <c r="G24" i="4" s="1"/>
  <c r="D25" i="4"/>
  <c r="D26" i="4"/>
  <c r="D27" i="4"/>
  <c r="D28" i="4"/>
  <c r="D29" i="4"/>
  <c r="D30" i="4"/>
  <c r="D31" i="4"/>
  <c r="D32" i="4"/>
  <c r="D33" i="4"/>
  <c r="D34" i="4"/>
  <c r="D35" i="4"/>
  <c r="D36" i="4"/>
  <c r="G36" i="4"/>
  <c r="D37" i="4"/>
  <c r="D38" i="4"/>
  <c r="G38" i="4"/>
  <c r="D39" i="4"/>
  <c r="G39" i="4"/>
  <c r="D40" i="4"/>
  <c r="G40" i="4" s="1"/>
  <c r="D41" i="4"/>
  <c r="D42" i="4"/>
  <c r="D43" i="4"/>
  <c r="D44" i="4"/>
  <c r="G44" i="4"/>
  <c r="D45" i="4"/>
  <c r="G45" i="4" s="1"/>
  <c r="D46" i="4"/>
  <c r="D47" i="4"/>
  <c r="D48" i="4"/>
  <c r="D49" i="4"/>
  <c r="D50" i="4"/>
  <c r="D51" i="4"/>
  <c r="D52" i="4"/>
  <c r="D53" i="4"/>
  <c r="G53" i="4" s="1"/>
  <c r="D54" i="4"/>
  <c r="D55" i="4"/>
  <c r="D56" i="4"/>
  <c r="D57" i="4"/>
  <c r="G57" i="4"/>
  <c r="D58" i="4"/>
  <c r="D59" i="4"/>
  <c r="D60" i="4"/>
  <c r="D61" i="4"/>
  <c r="G61" i="4" s="1"/>
  <c r="D62" i="4"/>
  <c r="D63" i="4"/>
  <c r="G63" i="4" s="1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G76" i="4"/>
  <c r="D77" i="4"/>
  <c r="G77" i="4" s="1"/>
  <c r="D78" i="4"/>
  <c r="G78" i="4" s="1"/>
  <c r="D79" i="4"/>
  <c r="D80" i="4"/>
  <c r="G80" i="4" s="1"/>
  <c r="D81" i="4"/>
  <c r="D82" i="4"/>
  <c r="D83" i="4"/>
  <c r="D84" i="4"/>
  <c r="D85" i="4"/>
  <c r="G85" i="4" s="1"/>
  <c r="D86" i="4"/>
  <c r="D87" i="4"/>
  <c r="D88" i="4"/>
  <c r="D89" i="4"/>
  <c r="D90" i="4"/>
  <c r="D91" i="4"/>
  <c r="D92" i="4"/>
  <c r="D93" i="4"/>
  <c r="D94" i="4"/>
  <c r="D95" i="4"/>
  <c r="G95" i="4" s="1"/>
  <c r="D96" i="4"/>
  <c r="D97" i="4"/>
  <c r="D98" i="4"/>
  <c r="D99" i="4"/>
  <c r="G99" i="4" s="1"/>
  <c r="D100" i="4"/>
  <c r="G100" i="4" s="1"/>
  <c r="D101" i="4"/>
  <c r="G101" i="4" s="1"/>
  <c r="D102" i="4"/>
  <c r="D103" i="4"/>
  <c r="D104" i="4"/>
  <c r="D105" i="4"/>
  <c r="D106" i="4"/>
  <c r="D107" i="4"/>
  <c r="D108" i="4"/>
  <c r="D109" i="4"/>
  <c r="G109" i="4" s="1"/>
  <c r="D110" i="4"/>
  <c r="G110" i="4" s="1"/>
  <c r="D111" i="4"/>
  <c r="G111" i="4" s="1"/>
  <c r="D112" i="4"/>
  <c r="D113" i="4"/>
  <c r="D114" i="4"/>
  <c r="G114" i="4" s="1"/>
  <c r="D115" i="4"/>
  <c r="D116" i="4"/>
  <c r="D117" i="4"/>
  <c r="D118" i="4"/>
  <c r="D119" i="4"/>
  <c r="G119" i="4" s="1"/>
  <c r="D120" i="4"/>
  <c r="D121" i="4"/>
  <c r="D122" i="4"/>
  <c r="D123" i="4"/>
  <c r="D124" i="4"/>
  <c r="D125" i="4"/>
  <c r="D126" i="4"/>
  <c r="D127" i="4"/>
  <c r="D128" i="4"/>
  <c r="G128" i="4" s="1"/>
  <c r="D129" i="4"/>
  <c r="G129" i="4" s="1"/>
  <c r="D130" i="4"/>
  <c r="D131" i="4"/>
  <c r="D132" i="4"/>
  <c r="D133" i="4"/>
  <c r="G133" i="4" s="1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G149" i="4" s="1"/>
  <c r="D150" i="4"/>
  <c r="G150" i="4" s="1"/>
  <c r="D151" i="4"/>
  <c r="G151" i="4" s="1"/>
  <c r="D152" i="4"/>
  <c r="D153" i="4"/>
  <c r="G153" i="4" s="1"/>
  <c r="D154" i="4"/>
  <c r="D155" i="4"/>
  <c r="D156" i="4"/>
  <c r="G156" i="4" s="1"/>
  <c r="D157" i="4"/>
  <c r="G157" i="4" s="1"/>
  <c r="D158" i="4"/>
  <c r="D159" i="4"/>
  <c r="D160" i="4"/>
  <c r="G160" i="4" s="1"/>
  <c r="D161" i="4"/>
  <c r="D162" i="4"/>
  <c r="D163" i="4"/>
  <c r="G163" i="4" s="1"/>
  <c r="D164" i="4"/>
  <c r="D165" i="4"/>
  <c r="D166" i="4"/>
  <c r="D167" i="4"/>
  <c r="D168" i="4"/>
  <c r="D169" i="4"/>
  <c r="D170" i="4"/>
  <c r="G170" i="4" s="1"/>
  <c r="D171" i="4"/>
  <c r="D172" i="4"/>
  <c r="D173" i="4"/>
  <c r="D174" i="4"/>
  <c r="D175" i="4"/>
  <c r="D176" i="4"/>
  <c r="D177" i="4"/>
  <c r="G177" i="4"/>
  <c r="D178" i="4"/>
  <c r="G178" i="4" s="1"/>
  <c r="D179" i="4"/>
  <c r="G179" i="4" s="1"/>
  <c r="D180" i="4"/>
  <c r="D181" i="4"/>
  <c r="D182" i="4"/>
  <c r="D183" i="4"/>
  <c r="D184" i="4"/>
  <c r="D185" i="4"/>
  <c r="D186" i="4"/>
  <c r="G186" i="4"/>
  <c r="D187" i="4"/>
  <c r="G187" i="4" s="1"/>
  <c r="D188" i="4"/>
  <c r="D189" i="4"/>
  <c r="D190" i="4"/>
  <c r="D191" i="4"/>
  <c r="D192" i="4"/>
  <c r="D193" i="4"/>
  <c r="D194" i="4"/>
  <c r="G194" i="4" s="1"/>
  <c r="D195" i="4"/>
  <c r="G195" i="4" s="1"/>
  <c r="D196" i="4"/>
  <c r="G196" i="4" s="1"/>
  <c r="D197" i="4"/>
  <c r="D198" i="4"/>
  <c r="D199" i="4"/>
  <c r="D200" i="4"/>
  <c r="D201" i="4"/>
  <c r="D202" i="4"/>
  <c r="D203" i="4"/>
  <c r="G203" i="4" s="1"/>
  <c r="D204" i="4"/>
  <c r="G204" i="4" s="1"/>
  <c r="D205" i="4"/>
  <c r="G205" i="4" s="1"/>
  <c r="D206" i="4"/>
  <c r="G206" i="4" s="1"/>
  <c r="D207" i="4"/>
  <c r="D208" i="4"/>
  <c r="D209" i="4"/>
  <c r="D210" i="4"/>
  <c r="D211" i="4"/>
  <c r="D212" i="4"/>
  <c r="G212" i="4" s="1"/>
  <c r="D213" i="4"/>
  <c r="G213" i="4" s="1"/>
  <c r="D214" i="4"/>
  <c r="G214" i="4" s="1"/>
  <c r="D215" i="4"/>
  <c r="G215" i="4" s="1"/>
  <c r="D216" i="4"/>
  <c r="D217" i="4"/>
  <c r="D218" i="4"/>
  <c r="G218" i="4" s="1"/>
  <c r="D219" i="4"/>
  <c r="D220" i="4"/>
  <c r="D221" i="4"/>
  <c r="G221" i="4" s="1"/>
  <c r="D222" i="4"/>
  <c r="G222" i="4" s="1"/>
  <c r="D223" i="4"/>
  <c r="D224" i="4"/>
  <c r="G224" i="4" s="1"/>
  <c r="D225" i="4"/>
  <c r="D226" i="4"/>
  <c r="G226" i="4" s="1"/>
  <c r="D227" i="4"/>
  <c r="D228" i="4"/>
  <c r="D229" i="4"/>
  <c r="D230" i="4"/>
  <c r="D231" i="4"/>
  <c r="G231" i="4" s="1"/>
  <c r="D232" i="4"/>
  <c r="G232" i="4" s="1"/>
  <c r="D233" i="4"/>
  <c r="D234" i="4"/>
  <c r="D235" i="4"/>
  <c r="D236" i="4"/>
  <c r="D237" i="4"/>
  <c r="D238" i="4"/>
  <c r="D239" i="4"/>
  <c r="D240" i="4"/>
  <c r="G240" i="4" s="1"/>
  <c r="D241" i="4"/>
  <c r="G241" i="4" s="1"/>
  <c r="D242" i="4"/>
  <c r="G242" i="4" s="1"/>
  <c r="D243" i="4"/>
  <c r="G243" i="4" s="1"/>
  <c r="D244" i="4"/>
  <c r="G244" i="4" s="1"/>
  <c r="D245" i="4"/>
  <c r="D246" i="4"/>
  <c r="D247" i="4"/>
  <c r="D248" i="4"/>
  <c r="D249" i="4"/>
  <c r="D250" i="4"/>
  <c r="D251" i="4"/>
  <c r="D252" i="4"/>
  <c r="G252" i="4" s="1"/>
  <c r="D253" i="4"/>
  <c r="D254" i="4"/>
  <c r="G254" i="4" s="1"/>
  <c r="D255" i="4"/>
  <c r="D256" i="4"/>
  <c r="D257" i="4"/>
  <c r="D258" i="4"/>
  <c r="D259" i="4"/>
  <c r="D260" i="4"/>
  <c r="D261" i="4"/>
  <c r="G261" i="4" s="1"/>
  <c r="D262" i="4"/>
  <c r="D263" i="4"/>
  <c r="G263" i="4" s="1"/>
  <c r="D264" i="4"/>
  <c r="G264" i="4" s="1"/>
  <c r="D265" i="4"/>
  <c r="D266" i="4"/>
  <c r="D267" i="4"/>
  <c r="D268" i="4"/>
  <c r="D269" i="4"/>
  <c r="D270" i="4"/>
  <c r="G270" i="4" s="1"/>
  <c r="D271" i="4"/>
  <c r="G271" i="4" s="1"/>
  <c r="D272" i="4"/>
  <c r="D273" i="4"/>
  <c r="G273" i="4" s="1"/>
  <c r="D274" i="4"/>
  <c r="D275" i="4"/>
  <c r="D276" i="4"/>
  <c r="D277" i="4"/>
  <c r="D278" i="4"/>
  <c r="D279" i="4"/>
  <c r="G279" i="4" s="1"/>
  <c r="D280" i="4"/>
  <c r="D281" i="4"/>
  <c r="G281" i="4" s="1"/>
  <c r="D282" i="4"/>
  <c r="G282" i="4" s="1"/>
  <c r="D283" i="4"/>
  <c r="D284" i="4"/>
  <c r="D285" i="4"/>
  <c r="D286" i="4"/>
  <c r="D287" i="4"/>
  <c r="D288" i="4"/>
  <c r="D289" i="4"/>
  <c r="G289" i="4" s="1"/>
  <c r="D290" i="4"/>
  <c r="G290" i="4" s="1"/>
  <c r="D291" i="4"/>
  <c r="D292" i="4"/>
  <c r="D293" i="4"/>
  <c r="D294" i="4"/>
  <c r="D295" i="4"/>
  <c r="D296" i="4"/>
  <c r="G296" i="4" s="1"/>
  <c r="D297" i="4"/>
  <c r="G297" i="4" s="1"/>
  <c r="D298" i="4"/>
  <c r="G298" i="4"/>
  <c r="D299" i="4"/>
  <c r="D300" i="4"/>
  <c r="D301" i="4"/>
  <c r="D302" i="4"/>
  <c r="D303" i="4"/>
  <c r="D304" i="4"/>
  <c r="D305" i="4"/>
  <c r="D306" i="4"/>
  <c r="D307" i="4"/>
  <c r="D308" i="4"/>
  <c r="G308" i="4" s="1"/>
  <c r="D309" i="4"/>
  <c r="D310" i="4"/>
  <c r="D311" i="4"/>
  <c r="D312" i="4"/>
  <c r="D313" i="4"/>
  <c r="G313" i="4" s="1"/>
  <c r="D314" i="4"/>
  <c r="D315" i="4"/>
  <c r="D316" i="4"/>
  <c r="D317" i="4"/>
  <c r="G317" i="4" s="1"/>
  <c r="D318" i="4"/>
  <c r="D319" i="4"/>
  <c r="G319" i="4" s="1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G332" i="4" s="1"/>
  <c r="D333" i="4"/>
  <c r="D334" i="4"/>
  <c r="D335" i="4"/>
  <c r="G335" i="4" s="1"/>
  <c r="D336" i="4"/>
  <c r="D337" i="4"/>
  <c r="G337" i="4" s="1"/>
  <c r="D338" i="4"/>
  <c r="D339" i="4"/>
  <c r="D340" i="4"/>
  <c r="D341" i="4"/>
  <c r="G341" i="4" s="1"/>
  <c r="D342" i="4"/>
  <c r="D343" i="4"/>
  <c r="D344" i="4"/>
  <c r="D345" i="4"/>
  <c r="D346" i="4"/>
  <c r="D347" i="4"/>
  <c r="D348" i="4"/>
  <c r="D349" i="4"/>
  <c r="D350" i="4"/>
  <c r="D351" i="4"/>
  <c r="G351" i="4" s="1"/>
  <c r="D352" i="4"/>
  <c r="D353" i="4"/>
  <c r="G353" i="4" s="1"/>
  <c r="D354" i="4"/>
  <c r="G354" i="4" s="1"/>
  <c r="D355" i="4"/>
  <c r="D356" i="4"/>
  <c r="D357" i="4"/>
  <c r="D358" i="4"/>
  <c r="D359" i="4"/>
  <c r="D360" i="4"/>
  <c r="G360" i="4"/>
  <c r="D361" i="4"/>
  <c r="G361" i="4" s="1"/>
  <c r="D362" i="4"/>
  <c r="G362" i="4"/>
  <c r="D363" i="4"/>
  <c r="G363" i="4" s="1"/>
  <c r="D364" i="4"/>
  <c r="D365" i="4"/>
  <c r="D366" i="4"/>
  <c r="D367" i="4"/>
  <c r="D368" i="4"/>
  <c r="G368" i="4" s="1"/>
  <c r="D369" i="4"/>
  <c r="D370" i="4"/>
  <c r="D371" i="4"/>
  <c r="D372" i="4"/>
  <c r="D373" i="4"/>
  <c r="D374" i="4"/>
  <c r="D375" i="4"/>
  <c r="D376" i="4"/>
  <c r="G376" i="4" s="1"/>
  <c r="D377" i="4"/>
  <c r="G377" i="4" s="1"/>
  <c r="D378" i="4"/>
  <c r="G378" i="4" s="1"/>
  <c r="D379" i="4"/>
  <c r="D380" i="4"/>
  <c r="D381" i="4"/>
  <c r="D382" i="4"/>
  <c r="D383" i="4"/>
  <c r="D384" i="4"/>
  <c r="G384" i="4"/>
  <c r="D385" i="4"/>
  <c r="G385" i="4" s="1"/>
  <c r="D386" i="4"/>
  <c r="D387" i="4"/>
  <c r="D388" i="4"/>
  <c r="D389" i="4"/>
  <c r="D390" i="4"/>
  <c r="D391" i="4"/>
  <c r="G391" i="4" s="1"/>
  <c r="D392" i="4"/>
  <c r="D393" i="4"/>
  <c r="G393" i="4" s="1"/>
  <c r="D394" i="4"/>
  <c r="D395" i="4"/>
  <c r="G395" i="4" s="1"/>
  <c r="D396" i="4"/>
  <c r="D397" i="4"/>
  <c r="D398" i="4"/>
  <c r="G398" i="4"/>
  <c r="D399" i="4"/>
  <c r="G399" i="4" s="1"/>
  <c r="D400" i="4"/>
  <c r="D401" i="4"/>
  <c r="D402" i="4"/>
  <c r="G402" i="4"/>
  <c r="D403" i="4"/>
  <c r="D404" i="4"/>
  <c r="G404" i="4" s="1"/>
  <c r="D405" i="4"/>
  <c r="D406" i="4"/>
  <c r="D407" i="4"/>
  <c r="D408" i="4"/>
  <c r="D409" i="4"/>
  <c r="D410" i="4"/>
  <c r="D411" i="4"/>
  <c r="G411" i="4" s="1"/>
  <c r="D412" i="4"/>
  <c r="D413" i="4"/>
  <c r="D414" i="4"/>
  <c r="G414" i="4" s="1"/>
  <c r="D415" i="4"/>
  <c r="D416" i="4"/>
  <c r="G416" i="4"/>
  <c r="D417" i="4"/>
  <c r="D418" i="4"/>
  <c r="D419" i="4"/>
  <c r="D420" i="4"/>
  <c r="G420" i="4"/>
  <c r="D421" i="4"/>
  <c r="G421" i="4" s="1"/>
  <c r="D422" i="4"/>
  <c r="D423" i="4"/>
  <c r="D424" i="4"/>
  <c r="D425" i="4"/>
  <c r="D426" i="4"/>
  <c r="D427" i="4"/>
  <c r="D428" i="4"/>
  <c r="G428" i="4" s="1"/>
  <c r="D429" i="4"/>
  <c r="D430" i="4"/>
  <c r="D431" i="4"/>
  <c r="G431" i="4" s="1"/>
  <c r="D432" i="4"/>
  <c r="D433" i="4"/>
  <c r="D434" i="4"/>
  <c r="D435" i="4"/>
  <c r="D436" i="4"/>
  <c r="D437" i="4"/>
  <c r="D438" i="4"/>
  <c r="D439" i="4"/>
  <c r="G439" i="4" s="1"/>
  <c r="D440" i="4"/>
  <c r="D441" i="4"/>
  <c r="D442" i="4"/>
  <c r="D443" i="4"/>
  <c r="D444" i="4"/>
  <c r="D445" i="4"/>
  <c r="D446" i="4"/>
  <c r="D447" i="4"/>
  <c r="G447" i="4"/>
  <c r="D448" i="4"/>
  <c r="G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G462" i="4"/>
  <c r="D463" i="4"/>
  <c r="D464" i="4"/>
  <c r="G464" i="4"/>
  <c r="D465" i="4"/>
  <c r="G465" i="4" s="1"/>
  <c r="D466" i="4"/>
  <c r="D467" i="4"/>
  <c r="G467" i="4" s="1"/>
  <c r="D468" i="4"/>
  <c r="D469" i="4"/>
  <c r="D470" i="4"/>
  <c r="D471" i="4"/>
  <c r="D472" i="4"/>
  <c r="G472" i="4" s="1"/>
  <c r="D473" i="4"/>
  <c r="D474" i="4"/>
  <c r="D475" i="4"/>
  <c r="G475" i="4" s="1"/>
  <c r="D476" i="4"/>
  <c r="D477" i="4"/>
  <c r="G477" i="4" s="1"/>
  <c r="D478" i="4"/>
  <c r="D479" i="4"/>
  <c r="D480" i="4"/>
  <c r="D481" i="4"/>
  <c r="D482" i="4"/>
  <c r="G482" i="4" s="1"/>
  <c r="D483" i="4"/>
  <c r="D484" i="4"/>
  <c r="D485" i="4"/>
  <c r="D486" i="4"/>
  <c r="D487" i="4"/>
  <c r="D488" i="4"/>
  <c r="D489" i="4"/>
  <c r="D490" i="4"/>
  <c r="G490" i="4"/>
  <c r="D491" i="4"/>
  <c r="D492" i="4"/>
  <c r="D493" i="4"/>
  <c r="D494" i="4"/>
  <c r="D495" i="4"/>
  <c r="G495" i="4" s="1"/>
  <c r="D496" i="4"/>
  <c r="D497" i="4"/>
  <c r="D498" i="4"/>
  <c r="G498" i="4"/>
  <c r="D499" i="4"/>
  <c r="G499" i="4" s="1"/>
  <c r="D500" i="4"/>
  <c r="G500" i="4" s="1"/>
  <c r="D501" i="4"/>
  <c r="G501" i="4"/>
  <c r="D502" i="4"/>
  <c r="G502" i="4" s="1"/>
  <c r="D503" i="4"/>
  <c r="D504" i="4"/>
  <c r="D505" i="4"/>
  <c r="D506" i="4"/>
  <c r="D507" i="4"/>
  <c r="D508" i="4"/>
  <c r="D509" i="4"/>
  <c r="D510" i="4"/>
  <c r="D511" i="4"/>
  <c r="G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G527" i="4" s="1"/>
  <c r="D528" i="4"/>
  <c r="D529" i="4"/>
  <c r="D530" i="4"/>
  <c r="D531" i="4"/>
  <c r="D532" i="4"/>
  <c r="D533" i="4"/>
  <c r="D534" i="4"/>
  <c r="D535" i="4"/>
  <c r="D536" i="4"/>
  <c r="G536" i="4" s="1"/>
  <c r="D537" i="4"/>
  <c r="D538" i="4"/>
  <c r="D539" i="4"/>
  <c r="G539" i="4" s="1"/>
  <c r="D540" i="4"/>
  <c r="D541" i="4"/>
  <c r="D542" i="4"/>
  <c r="D543" i="4"/>
  <c r="D544" i="4"/>
  <c r="D545" i="4"/>
  <c r="G545" i="4" s="1"/>
  <c r="D546" i="4"/>
  <c r="D547" i="4"/>
  <c r="D548" i="4"/>
  <c r="D549" i="4"/>
  <c r="C5" i="4"/>
  <c r="F5" i="4" s="1"/>
  <c r="C6" i="4"/>
  <c r="F6" i="4" s="1"/>
  <c r="C7" i="4"/>
  <c r="F7" i="4" s="1"/>
  <c r="C8" i="4"/>
  <c r="F8" i="4"/>
  <c r="C9" i="4"/>
  <c r="F9" i="4"/>
  <c r="C10" i="4"/>
  <c r="F10" i="4"/>
  <c r="C11" i="4"/>
  <c r="F11" i="4" s="1"/>
  <c r="C12" i="4"/>
  <c r="F12" i="4"/>
  <c r="C13" i="4"/>
  <c r="F13" i="4"/>
  <c r="C14" i="4"/>
  <c r="F14" i="4"/>
  <c r="C15" i="4"/>
  <c r="F15" i="4" s="1"/>
  <c r="C16" i="4"/>
  <c r="F16" i="4" s="1"/>
  <c r="C17" i="4"/>
  <c r="F17" i="4" s="1"/>
  <c r="C18" i="4"/>
  <c r="F18" i="4" s="1"/>
  <c r="C19" i="4"/>
  <c r="F19" i="4"/>
  <c r="C20" i="4"/>
  <c r="F20" i="4"/>
  <c r="C21" i="4"/>
  <c r="F21" i="4" s="1"/>
  <c r="C22" i="4"/>
  <c r="F22" i="4" s="1"/>
  <c r="C23" i="4"/>
  <c r="F23" i="4"/>
  <c r="C24" i="4"/>
  <c r="F24" i="4"/>
  <c r="C25" i="4"/>
  <c r="F25" i="4"/>
  <c r="C26" i="4"/>
  <c r="F26" i="4" s="1"/>
  <c r="C27" i="4"/>
  <c r="F27" i="4"/>
  <c r="C28" i="4"/>
  <c r="F28" i="4" s="1"/>
  <c r="C29" i="4"/>
  <c r="F29" i="4"/>
  <c r="C30" i="4"/>
  <c r="F30" i="4"/>
  <c r="C31" i="4"/>
  <c r="F31" i="4" s="1"/>
  <c r="C32" i="4"/>
  <c r="F32" i="4" s="1"/>
  <c r="C33" i="4"/>
  <c r="F33" i="4" s="1"/>
  <c r="C34" i="4"/>
  <c r="F34" i="4"/>
  <c r="C35" i="4"/>
  <c r="F35" i="4"/>
  <c r="C36" i="4"/>
  <c r="F36" i="4" s="1"/>
  <c r="C37" i="4"/>
  <c r="F37" i="4"/>
  <c r="C38" i="4"/>
  <c r="F38" i="4" s="1"/>
  <c r="C39" i="4"/>
  <c r="F39" i="4"/>
  <c r="C40" i="4"/>
  <c r="F40" i="4" s="1"/>
  <c r="C41" i="4"/>
  <c r="F41" i="4" s="1"/>
  <c r="C42" i="4"/>
  <c r="F42" i="4"/>
  <c r="C43" i="4"/>
  <c r="F43" i="4"/>
  <c r="C44" i="4"/>
  <c r="F44" i="4"/>
  <c r="C45" i="4"/>
  <c r="F45" i="4"/>
  <c r="C46" i="4"/>
  <c r="F46" i="4" s="1"/>
  <c r="C47" i="4"/>
  <c r="F47" i="4"/>
  <c r="C48" i="4"/>
  <c r="F48" i="4" s="1"/>
  <c r="C49" i="4"/>
  <c r="F49" i="4" s="1"/>
  <c r="C50" i="4"/>
  <c r="F50" i="4"/>
  <c r="C51" i="4"/>
  <c r="F51" i="4" s="1"/>
  <c r="C52" i="4"/>
  <c r="F52" i="4" s="1"/>
  <c r="C53" i="4"/>
  <c r="F53" i="4"/>
  <c r="C54" i="4"/>
  <c r="F54" i="4" s="1"/>
  <c r="C55" i="4"/>
  <c r="F55" i="4"/>
  <c r="C56" i="4"/>
  <c r="F56" i="4"/>
  <c r="C57" i="4"/>
  <c r="F57" i="4" s="1"/>
  <c r="C58" i="4"/>
  <c r="C59" i="4"/>
  <c r="C60" i="4"/>
  <c r="F60" i="4" s="1"/>
  <c r="C61" i="4"/>
  <c r="F61" i="4" s="1"/>
  <c r="C62" i="4"/>
  <c r="F62" i="4"/>
  <c r="C63" i="4"/>
  <c r="F63" i="4"/>
  <c r="C64" i="4"/>
  <c r="F64" i="4" s="1"/>
  <c r="C65" i="4"/>
  <c r="F65" i="4" s="1"/>
  <c r="C66" i="4"/>
  <c r="F66" i="4" s="1"/>
  <c r="C67" i="4"/>
  <c r="F67" i="4"/>
  <c r="C68" i="4"/>
  <c r="F68" i="4" s="1"/>
  <c r="C69" i="4"/>
  <c r="F69" i="4" s="1"/>
  <c r="C70" i="4"/>
  <c r="F70" i="4" s="1"/>
  <c r="C71" i="4"/>
  <c r="F71" i="4" s="1"/>
  <c r="C72" i="4"/>
  <c r="F72" i="4" s="1"/>
  <c r="C73" i="4"/>
  <c r="F73" i="4" s="1"/>
  <c r="C74" i="4"/>
  <c r="F74" i="4"/>
  <c r="C75" i="4"/>
  <c r="F75" i="4" s="1"/>
  <c r="C76" i="4"/>
  <c r="F76" i="4"/>
  <c r="C77" i="4"/>
  <c r="F77" i="4"/>
  <c r="C78" i="4"/>
  <c r="F78" i="4"/>
  <c r="C79" i="4"/>
  <c r="F79" i="4"/>
  <c r="C80" i="4"/>
  <c r="F80" i="4" s="1"/>
  <c r="C81" i="4"/>
  <c r="F81" i="4" s="1"/>
  <c r="C82" i="4"/>
  <c r="C83" i="4"/>
  <c r="C84" i="4"/>
  <c r="F84" i="4"/>
  <c r="C85" i="4"/>
  <c r="F85" i="4" s="1"/>
  <c r="C86" i="4"/>
  <c r="F86" i="4" s="1"/>
  <c r="C87" i="4"/>
  <c r="F87" i="4"/>
  <c r="C88" i="4"/>
  <c r="F88" i="4" s="1"/>
  <c r="C89" i="4"/>
  <c r="F89" i="4" s="1"/>
  <c r="C90" i="4"/>
  <c r="F90" i="4" s="1"/>
  <c r="C91" i="4"/>
  <c r="C92" i="4"/>
  <c r="C93" i="4"/>
  <c r="F93" i="4" s="1"/>
  <c r="C94" i="4"/>
  <c r="F94" i="4" s="1"/>
  <c r="C95" i="4"/>
  <c r="F95" i="4" s="1"/>
  <c r="C96" i="4"/>
  <c r="F96" i="4"/>
  <c r="C97" i="4"/>
  <c r="F97" i="4"/>
  <c r="C98" i="4"/>
  <c r="F98" i="4"/>
  <c r="C99" i="4"/>
  <c r="F99" i="4" s="1"/>
  <c r="C100" i="4"/>
  <c r="F100" i="4" s="1"/>
  <c r="C101" i="4"/>
  <c r="F101" i="4" s="1"/>
  <c r="C102" i="4"/>
  <c r="F102" i="4" s="1"/>
  <c r="C103" i="4"/>
  <c r="F103" i="4" s="1"/>
  <c r="C104" i="4"/>
  <c r="F104" i="4"/>
  <c r="C105" i="4"/>
  <c r="F105" i="4" s="1"/>
  <c r="C106" i="4"/>
  <c r="F106" i="4" s="1"/>
  <c r="C107" i="4"/>
  <c r="F107" i="4" s="1"/>
  <c r="C108" i="4"/>
  <c r="F108" i="4"/>
  <c r="C109" i="4"/>
  <c r="F109" i="4"/>
  <c r="C110" i="4"/>
  <c r="F110" i="4" s="1"/>
  <c r="C111" i="4"/>
  <c r="F111" i="4" s="1"/>
  <c r="C112" i="4"/>
  <c r="C113" i="4"/>
  <c r="F113" i="4"/>
  <c r="C114" i="4"/>
  <c r="F114" i="4" s="1"/>
  <c r="C115" i="4"/>
  <c r="F115" i="4" s="1"/>
  <c r="C116" i="4"/>
  <c r="F116" i="4"/>
  <c r="C117" i="4"/>
  <c r="F117" i="4" s="1"/>
  <c r="C118" i="4"/>
  <c r="F118" i="4"/>
  <c r="C119" i="4"/>
  <c r="F119" i="4"/>
  <c r="C120" i="4"/>
  <c r="F120" i="4" s="1"/>
  <c r="C121" i="4"/>
  <c r="F121" i="4" s="1"/>
  <c r="C122" i="4"/>
  <c r="F122" i="4"/>
  <c r="C123" i="4"/>
  <c r="F123" i="4" s="1"/>
  <c r="C124" i="4"/>
  <c r="F124" i="4" s="1"/>
  <c r="C125" i="4"/>
  <c r="F125" i="4" s="1"/>
  <c r="C126" i="4"/>
  <c r="F126" i="4"/>
  <c r="C127" i="4"/>
  <c r="F127" i="4"/>
  <c r="C128" i="4"/>
  <c r="F128" i="4" s="1"/>
  <c r="C129" i="4"/>
  <c r="F129" i="4"/>
  <c r="C130" i="4"/>
  <c r="F130" i="4" s="1"/>
  <c r="C131" i="4"/>
  <c r="F131" i="4" s="1"/>
  <c r="C132" i="4"/>
  <c r="F132" i="4" s="1"/>
  <c r="C133" i="4"/>
  <c r="F133" i="4"/>
  <c r="C134" i="4"/>
  <c r="F134" i="4"/>
  <c r="C135" i="4"/>
  <c r="F135" i="4" s="1"/>
  <c r="C136" i="4"/>
  <c r="F136" i="4"/>
  <c r="C137" i="4"/>
  <c r="F137" i="4"/>
  <c r="C138" i="4"/>
  <c r="F138" i="4" s="1"/>
  <c r="C139" i="4"/>
  <c r="C140" i="4"/>
  <c r="F140" i="4" s="1"/>
  <c r="C141" i="4"/>
  <c r="F141" i="4" s="1"/>
  <c r="C142" i="4"/>
  <c r="F142" i="4" s="1"/>
  <c r="C143" i="4"/>
  <c r="F143" i="4"/>
  <c r="C144" i="4"/>
  <c r="F144" i="4" s="1"/>
  <c r="C145" i="4"/>
  <c r="F145" i="4"/>
  <c r="C146" i="4"/>
  <c r="F146" i="4" s="1"/>
  <c r="C147" i="4"/>
  <c r="C148" i="4"/>
  <c r="F148" i="4" s="1"/>
  <c r="C149" i="4"/>
  <c r="F149" i="4"/>
  <c r="C150" i="4"/>
  <c r="F150" i="4" s="1"/>
  <c r="C151" i="4"/>
  <c r="F151" i="4" s="1"/>
  <c r="C152" i="4"/>
  <c r="F152" i="4" s="1"/>
  <c r="C153" i="4"/>
  <c r="F153" i="4" s="1"/>
  <c r="C154" i="4"/>
  <c r="F154" i="4" s="1"/>
  <c r="C155" i="4"/>
  <c r="F155" i="4"/>
  <c r="C156" i="4"/>
  <c r="F156" i="4"/>
  <c r="C157" i="4"/>
  <c r="F157" i="4" s="1"/>
  <c r="C158" i="4"/>
  <c r="F158" i="4" s="1"/>
  <c r="C159" i="4"/>
  <c r="F159" i="4" s="1"/>
  <c r="C160" i="4"/>
  <c r="F160" i="4"/>
  <c r="C161" i="4"/>
  <c r="F161" i="4"/>
  <c r="C162" i="4"/>
  <c r="F162" i="4" s="1"/>
  <c r="C163" i="4"/>
  <c r="F163" i="4"/>
  <c r="C164" i="4"/>
  <c r="F164" i="4" s="1"/>
  <c r="C165" i="4"/>
  <c r="F165" i="4" s="1"/>
  <c r="C166" i="4"/>
  <c r="F166" i="4" s="1"/>
  <c r="C167" i="4"/>
  <c r="F167" i="4" s="1"/>
  <c r="C168" i="4"/>
  <c r="F168" i="4"/>
  <c r="C169" i="4"/>
  <c r="F169" i="4" s="1"/>
  <c r="C170" i="4"/>
  <c r="F170" i="4" s="1"/>
  <c r="C171" i="4"/>
  <c r="F171" i="4"/>
  <c r="C172" i="4"/>
  <c r="F172" i="4" s="1"/>
  <c r="C173" i="4"/>
  <c r="F173" i="4"/>
  <c r="C174" i="4"/>
  <c r="F174" i="4"/>
  <c r="C175" i="4"/>
  <c r="F175" i="4" s="1"/>
  <c r="C176" i="4"/>
  <c r="C177" i="4"/>
  <c r="F177" i="4" s="1"/>
  <c r="C178" i="4"/>
  <c r="F178" i="4" s="1"/>
  <c r="C179" i="4"/>
  <c r="F179" i="4"/>
  <c r="C180" i="4"/>
  <c r="F180" i="4"/>
  <c r="C181" i="4"/>
  <c r="F181" i="4" s="1"/>
  <c r="C182" i="4"/>
  <c r="F182" i="4" s="1"/>
  <c r="C183" i="4"/>
  <c r="C184" i="4"/>
  <c r="F184" i="4" s="1"/>
  <c r="C185" i="4"/>
  <c r="F185" i="4" s="1"/>
  <c r="C186" i="4"/>
  <c r="F186" i="4"/>
  <c r="C187" i="4"/>
  <c r="F187" i="4" s="1"/>
  <c r="C188" i="4"/>
  <c r="F188" i="4"/>
  <c r="C189" i="4"/>
  <c r="F189" i="4"/>
  <c r="C190" i="4"/>
  <c r="F190" i="4"/>
  <c r="C191" i="4"/>
  <c r="F191" i="4" s="1"/>
  <c r="C192" i="4"/>
  <c r="F192" i="4" s="1"/>
  <c r="C193" i="4"/>
  <c r="F193" i="4"/>
  <c r="C194" i="4"/>
  <c r="F194" i="4" s="1"/>
  <c r="C195" i="4"/>
  <c r="F195" i="4" s="1"/>
  <c r="C196" i="4"/>
  <c r="F196" i="4"/>
  <c r="C197" i="4"/>
  <c r="F197" i="4" s="1"/>
  <c r="C198" i="4"/>
  <c r="F198" i="4"/>
  <c r="C199" i="4"/>
  <c r="C200" i="4"/>
  <c r="C201" i="4"/>
  <c r="F201" i="4"/>
  <c r="C202" i="4"/>
  <c r="F202" i="4" s="1"/>
  <c r="C203" i="4"/>
  <c r="F203" i="4"/>
  <c r="C204" i="4"/>
  <c r="F204" i="4" s="1"/>
  <c r="C205" i="4"/>
  <c r="F205" i="4" s="1"/>
  <c r="C206" i="4"/>
  <c r="F206" i="4" s="1"/>
  <c r="C207" i="4"/>
  <c r="F207" i="4" s="1"/>
  <c r="C208" i="4"/>
  <c r="F208" i="4"/>
  <c r="C209" i="4"/>
  <c r="F209" i="4" s="1"/>
  <c r="C210" i="4"/>
  <c r="F210" i="4" s="1"/>
  <c r="C211" i="4"/>
  <c r="F211" i="4"/>
  <c r="C212" i="4"/>
  <c r="F212" i="4" s="1"/>
  <c r="C213" i="4"/>
  <c r="F213" i="4"/>
  <c r="C214" i="4"/>
  <c r="F214" i="4"/>
  <c r="C215" i="4"/>
  <c r="F215" i="4" s="1"/>
  <c r="C216" i="4"/>
  <c r="F216" i="4" s="1"/>
  <c r="C217" i="4"/>
  <c r="F217" i="4" s="1"/>
  <c r="C218" i="4"/>
  <c r="F218" i="4"/>
  <c r="C219" i="4"/>
  <c r="F219" i="4"/>
  <c r="C220" i="4"/>
  <c r="F220" i="4"/>
  <c r="C221" i="4"/>
  <c r="F221" i="4" s="1"/>
  <c r="C222" i="4"/>
  <c r="F222" i="4" s="1"/>
  <c r="C223" i="4"/>
  <c r="C224" i="4"/>
  <c r="F224" i="4"/>
  <c r="C225" i="4"/>
  <c r="F225" i="4"/>
  <c r="C226" i="4"/>
  <c r="F226" i="4"/>
  <c r="C227" i="4"/>
  <c r="F227" i="4" s="1"/>
  <c r="C228" i="4"/>
  <c r="C229" i="4"/>
  <c r="F229" i="4"/>
  <c r="C230" i="4"/>
  <c r="F230" i="4" s="1"/>
  <c r="C231" i="4"/>
  <c r="F231" i="4"/>
  <c r="C232" i="4"/>
  <c r="F232" i="4"/>
  <c r="C233" i="4"/>
  <c r="F233" i="4" s="1"/>
  <c r="C234" i="4"/>
  <c r="F234" i="4" s="1"/>
  <c r="C235" i="4"/>
  <c r="F235" i="4" s="1"/>
  <c r="C236" i="4"/>
  <c r="F236" i="4"/>
  <c r="C237" i="4"/>
  <c r="F237" i="4" s="1"/>
  <c r="C238" i="4"/>
  <c r="F238" i="4" s="1"/>
  <c r="C239" i="4"/>
  <c r="F239" i="4" s="1"/>
  <c r="C240" i="4"/>
  <c r="F240" i="4"/>
  <c r="C241" i="4"/>
  <c r="F241" i="4"/>
  <c r="C242" i="4"/>
  <c r="F242" i="4"/>
  <c r="C243" i="4"/>
  <c r="F243" i="4" s="1"/>
  <c r="C244" i="4"/>
  <c r="C245" i="4"/>
  <c r="C246" i="4"/>
  <c r="F246" i="4"/>
  <c r="C247" i="4"/>
  <c r="F247" i="4"/>
  <c r="C248" i="4"/>
  <c r="F248" i="4" s="1"/>
  <c r="C249" i="4"/>
  <c r="F249" i="4" s="1"/>
  <c r="C250" i="4"/>
  <c r="F250" i="4"/>
  <c r="C251" i="4"/>
  <c r="C252" i="4"/>
  <c r="C253" i="4"/>
  <c r="F253" i="4"/>
  <c r="C254" i="4"/>
  <c r="F254" i="4"/>
  <c r="C255" i="4"/>
  <c r="F255" i="4" s="1"/>
  <c r="C256" i="4"/>
  <c r="F256" i="4" s="1"/>
  <c r="C257" i="4"/>
  <c r="F257" i="4" s="1"/>
  <c r="C258" i="4"/>
  <c r="F258" i="4" s="1"/>
  <c r="C259" i="4"/>
  <c r="F259" i="4"/>
  <c r="C260" i="4"/>
  <c r="F260" i="4" s="1"/>
  <c r="C261" i="4"/>
  <c r="F261" i="4" s="1"/>
  <c r="C262" i="4"/>
  <c r="F262" i="4" s="1"/>
  <c r="C263" i="4"/>
  <c r="F263" i="4"/>
  <c r="C264" i="4"/>
  <c r="F264" i="4"/>
  <c r="C265" i="4"/>
  <c r="F265" i="4"/>
  <c r="C266" i="4"/>
  <c r="F266" i="4" s="1"/>
  <c r="C267" i="4"/>
  <c r="C268" i="4"/>
  <c r="F268" i="4" s="1"/>
  <c r="C269" i="4"/>
  <c r="C270" i="4"/>
  <c r="F270" i="4" s="1"/>
  <c r="C271" i="4"/>
  <c r="F271" i="4"/>
  <c r="C272" i="4"/>
  <c r="F272" i="4"/>
  <c r="C273" i="4"/>
  <c r="F273" i="4" s="1"/>
  <c r="C274" i="4"/>
  <c r="C275" i="4"/>
  <c r="F275" i="4" s="1"/>
  <c r="C276" i="4"/>
  <c r="F276" i="4" s="1"/>
  <c r="C277" i="4"/>
  <c r="F277" i="4" s="1"/>
  <c r="C278" i="4"/>
  <c r="F278" i="4"/>
  <c r="C279" i="4"/>
  <c r="F279" i="4" s="1"/>
  <c r="C280" i="4"/>
  <c r="F280" i="4" s="1"/>
  <c r="C281" i="4"/>
  <c r="F281" i="4" s="1"/>
  <c r="C282" i="4"/>
  <c r="F282" i="4"/>
  <c r="C283" i="4"/>
  <c r="F283" i="4"/>
  <c r="C284" i="4"/>
  <c r="C285" i="4"/>
  <c r="F285" i="4" s="1"/>
  <c r="C286" i="4"/>
  <c r="F286" i="4"/>
  <c r="C287" i="4"/>
  <c r="F287" i="4"/>
  <c r="C288" i="4"/>
  <c r="F288" i="4" s="1"/>
  <c r="C289" i="4"/>
  <c r="F289" i="4" s="1"/>
  <c r="C290" i="4"/>
  <c r="F290" i="4" s="1"/>
  <c r="C291" i="4"/>
  <c r="F291" i="4" s="1"/>
  <c r="C292" i="4"/>
  <c r="C293" i="4"/>
  <c r="F293" i="4" s="1"/>
  <c r="C294" i="4"/>
  <c r="F294" i="4" s="1"/>
  <c r="C295" i="4"/>
  <c r="F295" i="4"/>
  <c r="C296" i="4"/>
  <c r="F296" i="4"/>
  <c r="C297" i="4"/>
  <c r="F297" i="4" s="1"/>
  <c r="C298" i="4"/>
  <c r="F298" i="4"/>
  <c r="C299" i="4"/>
  <c r="C300" i="4"/>
  <c r="C301" i="4"/>
  <c r="C302" i="4"/>
  <c r="F302" i="4"/>
  <c r="C303" i="4"/>
  <c r="F303" i="4" s="1"/>
  <c r="C304" i="4"/>
  <c r="F304" i="4" s="1"/>
  <c r="C305" i="4"/>
  <c r="F305" i="4"/>
  <c r="C306" i="4"/>
  <c r="F306" i="4"/>
  <c r="C307" i="4"/>
  <c r="F307" i="4"/>
  <c r="C308" i="4"/>
  <c r="F308" i="4" s="1"/>
  <c r="C309" i="4"/>
  <c r="F309" i="4" s="1"/>
  <c r="C310" i="4"/>
  <c r="F310" i="4" s="1"/>
  <c r="C311" i="4"/>
  <c r="F311" i="4"/>
  <c r="C312" i="4"/>
  <c r="F312" i="4" s="1"/>
  <c r="C313" i="4"/>
  <c r="F313" i="4"/>
  <c r="C314" i="4"/>
  <c r="F314" i="4" s="1"/>
  <c r="C315" i="4"/>
  <c r="F315" i="4" s="1"/>
  <c r="C316" i="4"/>
  <c r="F316" i="4"/>
  <c r="C317" i="4"/>
  <c r="F317" i="4" s="1"/>
  <c r="C318" i="4"/>
  <c r="F318" i="4" s="1"/>
  <c r="C319" i="4"/>
  <c r="F319" i="4"/>
  <c r="C320" i="4"/>
  <c r="F320" i="4" s="1"/>
  <c r="C321" i="4"/>
  <c r="F321" i="4" s="1"/>
  <c r="C322" i="4"/>
  <c r="C323" i="4"/>
  <c r="F323" i="4" s="1"/>
  <c r="C324" i="4"/>
  <c r="F324" i="4"/>
  <c r="C325" i="4"/>
  <c r="F325" i="4" s="1"/>
  <c r="C326" i="4"/>
  <c r="F326" i="4" s="1"/>
  <c r="C327" i="4"/>
  <c r="F327" i="4"/>
  <c r="C328" i="4"/>
  <c r="F328" i="4"/>
  <c r="C329" i="4"/>
  <c r="F329" i="4" s="1"/>
  <c r="C330" i="4"/>
  <c r="F330" i="4" s="1"/>
  <c r="C331" i="4"/>
  <c r="F331" i="4" s="1"/>
  <c r="C332" i="4"/>
  <c r="F332" i="4" s="1"/>
  <c r="C333" i="4"/>
  <c r="F333" i="4"/>
  <c r="C334" i="4"/>
  <c r="F334" i="4"/>
  <c r="C335" i="4"/>
  <c r="F335" i="4" s="1"/>
  <c r="C336" i="4"/>
  <c r="F336" i="4" s="1"/>
  <c r="C337" i="4"/>
  <c r="F337" i="4" s="1"/>
  <c r="C338" i="4"/>
  <c r="C339" i="4"/>
  <c r="F339" i="4" s="1"/>
  <c r="C340" i="4"/>
  <c r="F340" i="4" s="1"/>
  <c r="C341" i="4"/>
  <c r="F341" i="4"/>
  <c r="C342" i="4"/>
  <c r="F342" i="4" s="1"/>
  <c r="C343" i="4"/>
  <c r="F343" i="4" s="1"/>
  <c r="C344" i="4"/>
  <c r="F344" i="4" s="1"/>
  <c r="C345" i="4"/>
  <c r="C346" i="4"/>
  <c r="F346" i="4"/>
  <c r="C347" i="4"/>
  <c r="F347" i="4" s="1"/>
  <c r="C348" i="4"/>
  <c r="F348" i="4"/>
  <c r="C349" i="4"/>
  <c r="C350" i="4"/>
  <c r="F350" i="4" s="1"/>
  <c r="C351" i="4"/>
  <c r="F351" i="4" s="1"/>
  <c r="C352" i="4"/>
  <c r="F352" i="4"/>
  <c r="C353" i="4"/>
  <c r="F353" i="4"/>
  <c r="C354" i="4"/>
  <c r="F354" i="4" s="1"/>
  <c r="C355" i="4"/>
  <c r="F355" i="4" s="1"/>
  <c r="C356" i="4"/>
  <c r="F356" i="4" s="1"/>
  <c r="C357" i="4"/>
  <c r="C358" i="4"/>
  <c r="C359" i="4"/>
  <c r="F359" i="4"/>
  <c r="C360" i="4"/>
  <c r="C361" i="4"/>
  <c r="F361" i="4"/>
  <c r="C362" i="4"/>
  <c r="F362" i="4"/>
  <c r="C363" i="4"/>
  <c r="F363" i="4"/>
  <c r="C364" i="4"/>
  <c r="F364" i="4" s="1"/>
  <c r="C365" i="4"/>
  <c r="C366" i="4"/>
  <c r="F366" i="4"/>
  <c r="C367" i="4"/>
  <c r="F367" i="4" s="1"/>
  <c r="C368" i="4"/>
  <c r="F368" i="4" s="1"/>
  <c r="C369" i="4"/>
  <c r="F369" i="4" s="1"/>
  <c r="C370" i="4"/>
  <c r="F370" i="4" s="1"/>
  <c r="C371" i="4"/>
  <c r="F371" i="4"/>
  <c r="C372" i="4"/>
  <c r="F372" i="4" s="1"/>
  <c r="C373" i="4"/>
  <c r="C374" i="4"/>
  <c r="F374" i="4"/>
  <c r="C375" i="4"/>
  <c r="F375" i="4" s="1"/>
  <c r="C376" i="4"/>
  <c r="F376" i="4"/>
  <c r="C377" i="4"/>
  <c r="F377" i="4"/>
  <c r="C378" i="4"/>
  <c r="F378" i="4" s="1"/>
  <c r="C379" i="4"/>
  <c r="F379" i="4" s="1"/>
  <c r="C380" i="4"/>
  <c r="F380" i="4"/>
  <c r="C381" i="4"/>
  <c r="C382" i="4"/>
  <c r="F382" i="4"/>
  <c r="C383" i="4"/>
  <c r="F383" i="4" s="1"/>
  <c r="C384" i="4"/>
  <c r="F384" i="4"/>
  <c r="C385" i="4"/>
  <c r="F385" i="4"/>
  <c r="C386" i="4"/>
  <c r="F386" i="4" s="1"/>
  <c r="C387" i="4"/>
  <c r="F387" i="4" s="1"/>
  <c r="C388" i="4"/>
  <c r="F388" i="4"/>
  <c r="C389" i="4"/>
  <c r="F389" i="4" s="1"/>
  <c r="C390" i="4"/>
  <c r="F390" i="4" s="1"/>
  <c r="C391" i="4"/>
  <c r="F391" i="4" s="1"/>
  <c r="C392" i="4"/>
  <c r="F392" i="4"/>
  <c r="C393" i="4"/>
  <c r="F393" i="4"/>
  <c r="C394" i="4"/>
  <c r="F394" i="4" s="1"/>
  <c r="C395" i="4"/>
  <c r="F395" i="4"/>
  <c r="C396" i="4"/>
  <c r="C397" i="4"/>
  <c r="F397" i="4"/>
  <c r="C398" i="4"/>
  <c r="F398" i="4" s="1"/>
  <c r="C399" i="4"/>
  <c r="F399" i="4"/>
  <c r="C400" i="4"/>
  <c r="F400" i="4" s="1"/>
  <c r="C401" i="4"/>
  <c r="F401" i="4" s="1"/>
  <c r="C402" i="4"/>
  <c r="F402" i="4" s="1"/>
  <c r="C403" i="4"/>
  <c r="F403" i="4"/>
  <c r="C404" i="4"/>
  <c r="F404" i="4"/>
  <c r="C405" i="4"/>
  <c r="F405" i="4"/>
  <c r="C406" i="4"/>
  <c r="F406" i="4" s="1"/>
  <c r="C407" i="4"/>
  <c r="F407" i="4"/>
  <c r="C408" i="4"/>
  <c r="F408" i="4"/>
  <c r="C409" i="4"/>
  <c r="F409" i="4" s="1"/>
  <c r="C410" i="4"/>
  <c r="F410" i="4" s="1"/>
  <c r="C411" i="4"/>
  <c r="F411" i="4" s="1"/>
  <c r="C412" i="4"/>
  <c r="F412" i="4"/>
  <c r="C413" i="4"/>
  <c r="F413" i="4"/>
  <c r="C414" i="4"/>
  <c r="F414" i="4" s="1"/>
  <c r="C415" i="4"/>
  <c r="F415" i="4"/>
  <c r="C416" i="4"/>
  <c r="F416" i="4" s="1"/>
  <c r="C417" i="4"/>
  <c r="C418" i="4"/>
  <c r="F418" i="4"/>
  <c r="C419" i="4"/>
  <c r="F419" i="4"/>
  <c r="C420" i="4"/>
  <c r="F420" i="4" s="1"/>
  <c r="C421" i="4"/>
  <c r="F421" i="4" s="1"/>
  <c r="C422" i="4"/>
  <c r="F422" i="4"/>
  <c r="C423" i="4"/>
  <c r="F423" i="4"/>
  <c r="C424" i="4"/>
  <c r="F424" i="4" s="1"/>
  <c r="C425" i="4"/>
  <c r="F425" i="4"/>
  <c r="C426" i="4"/>
  <c r="C427" i="4"/>
  <c r="C428" i="4"/>
  <c r="C429" i="4"/>
  <c r="F429" i="4"/>
  <c r="C430" i="4"/>
  <c r="F430" i="4"/>
  <c r="C431" i="4"/>
  <c r="F431" i="4"/>
  <c r="C432" i="4"/>
  <c r="F432" i="4" s="1"/>
  <c r="C433" i="4"/>
  <c r="C434" i="4"/>
  <c r="C435" i="4"/>
  <c r="F435" i="4"/>
  <c r="C436" i="4"/>
  <c r="F436" i="4"/>
  <c r="C437" i="4"/>
  <c r="F437" i="4" s="1"/>
  <c r="C438" i="4"/>
  <c r="F438" i="4" s="1"/>
  <c r="C439" i="4"/>
  <c r="F439" i="4" s="1"/>
  <c r="C440" i="4"/>
  <c r="C441" i="4"/>
  <c r="C442" i="4"/>
  <c r="C443" i="4"/>
  <c r="C444" i="4"/>
  <c r="F444" i="4"/>
  <c r="C445" i="4"/>
  <c r="F445" i="4" s="1"/>
  <c r="C446" i="4"/>
  <c r="F446" i="4"/>
  <c r="C447" i="4"/>
  <c r="F447" i="4" s="1"/>
  <c r="C448" i="4"/>
  <c r="C449" i="4"/>
  <c r="F449" i="4" s="1"/>
  <c r="C450" i="4"/>
  <c r="F450" i="4" s="1"/>
  <c r="C451" i="4"/>
  <c r="F451" i="4"/>
  <c r="C452" i="4"/>
  <c r="F452" i="4" s="1"/>
  <c r="C453" i="4"/>
  <c r="F453" i="4" s="1"/>
  <c r="C454" i="4"/>
  <c r="F454" i="4" s="1"/>
  <c r="C455" i="4"/>
  <c r="F455" i="4"/>
  <c r="C456" i="4"/>
  <c r="F456" i="4" s="1"/>
  <c r="C457" i="4"/>
  <c r="F457" i="4"/>
  <c r="C458" i="4"/>
  <c r="F458" i="4" s="1"/>
  <c r="C459" i="4"/>
  <c r="C460" i="4"/>
  <c r="F460" i="4" s="1"/>
  <c r="C461" i="4"/>
  <c r="F461" i="4"/>
  <c r="C462" i="4"/>
  <c r="F462" i="4" s="1"/>
  <c r="C463" i="4"/>
  <c r="F463" i="4" s="1"/>
  <c r="C464" i="4"/>
  <c r="F464" i="4" s="1"/>
  <c r="C465" i="4"/>
  <c r="F465" i="4" s="1"/>
  <c r="C466" i="4"/>
  <c r="F466" i="4" s="1"/>
  <c r="C467" i="4"/>
  <c r="F467" i="4"/>
  <c r="C468" i="4"/>
  <c r="F468" i="4" s="1"/>
  <c r="C469" i="4"/>
  <c r="F469" i="4" s="1"/>
  <c r="C470" i="4"/>
  <c r="F470" i="4"/>
  <c r="C471" i="4"/>
  <c r="F471" i="4" s="1"/>
  <c r="C472" i="4"/>
  <c r="F472" i="4" s="1"/>
  <c r="C473" i="4"/>
  <c r="F473" i="4" s="1"/>
  <c r="C474" i="4"/>
  <c r="F474" i="4" s="1"/>
  <c r="C475" i="4"/>
  <c r="F475" i="4" s="1"/>
  <c r="C476" i="4"/>
  <c r="F476" i="4"/>
  <c r="C477" i="4"/>
  <c r="F477" i="4" s="1"/>
  <c r="C478" i="4"/>
  <c r="F478" i="4" s="1"/>
  <c r="C479" i="4"/>
  <c r="F479" i="4" s="1"/>
  <c r="C480" i="4"/>
  <c r="F480" i="4"/>
  <c r="C481" i="4"/>
  <c r="F481" i="4" s="1"/>
  <c r="C482" i="4"/>
  <c r="F482" i="4"/>
  <c r="C483" i="4"/>
  <c r="F483" i="4" s="1"/>
  <c r="C484" i="4"/>
  <c r="F484" i="4" s="1"/>
  <c r="C485" i="4"/>
  <c r="F485" i="4" s="1"/>
  <c r="C486" i="4"/>
  <c r="F486" i="4"/>
  <c r="C487" i="4"/>
  <c r="F487" i="4" s="1"/>
  <c r="C488" i="4"/>
  <c r="F488" i="4" s="1"/>
  <c r="C489" i="4"/>
  <c r="F489" i="4" s="1"/>
  <c r="C490" i="4"/>
  <c r="F490" i="4" s="1"/>
  <c r="C491" i="4"/>
  <c r="F491" i="4" s="1"/>
  <c r="C492" i="4"/>
  <c r="F492" i="4" s="1"/>
  <c r="C493" i="4"/>
  <c r="F493" i="4" s="1"/>
  <c r="C494" i="4"/>
  <c r="F494" i="4"/>
  <c r="C495" i="4"/>
  <c r="F495" i="4"/>
  <c r="C496" i="4"/>
  <c r="F496" i="4" s="1"/>
  <c r="C497" i="4"/>
  <c r="F497" i="4" s="1"/>
  <c r="C498" i="4"/>
  <c r="F498" i="4" s="1"/>
  <c r="C499" i="4"/>
  <c r="C500" i="4"/>
  <c r="F500" i="4"/>
  <c r="C501" i="4"/>
  <c r="F501" i="4"/>
  <c r="C502" i="4"/>
  <c r="F502" i="4" s="1"/>
  <c r="C503" i="4"/>
  <c r="F503" i="4" s="1"/>
  <c r="C504" i="4"/>
  <c r="F504" i="4"/>
  <c r="C505" i="4"/>
  <c r="F505" i="4"/>
  <c r="C506" i="4"/>
  <c r="F506" i="4"/>
  <c r="C507" i="4"/>
  <c r="F507" i="4" s="1"/>
  <c r="C508" i="4"/>
  <c r="F508" i="4" s="1"/>
  <c r="C509" i="4"/>
  <c r="F509" i="4"/>
  <c r="C510" i="4"/>
  <c r="F510" i="4"/>
  <c r="C511" i="4"/>
  <c r="F511" i="4" s="1"/>
  <c r="C512" i="4"/>
  <c r="F512" i="4" s="1"/>
  <c r="C513" i="4"/>
  <c r="F513" i="4" s="1"/>
  <c r="C514" i="4"/>
  <c r="F514" i="4" s="1"/>
  <c r="C515" i="4"/>
  <c r="F515" i="4" s="1"/>
  <c r="C516" i="4"/>
  <c r="F516" i="4"/>
  <c r="C517" i="4"/>
  <c r="F517" i="4"/>
  <c r="C518" i="4"/>
  <c r="F518" i="4"/>
  <c r="C519" i="4"/>
  <c r="F519" i="4" s="1"/>
  <c r="C520" i="4"/>
  <c r="F520" i="4" s="1"/>
  <c r="C521" i="4"/>
  <c r="F521" i="4" s="1"/>
  <c r="C522" i="4"/>
  <c r="F522" i="4" s="1"/>
  <c r="C523" i="4"/>
  <c r="F523" i="4"/>
  <c r="C524" i="4"/>
  <c r="F524" i="4"/>
  <c r="C525" i="4"/>
  <c r="C526" i="4"/>
  <c r="F526" i="4" s="1"/>
  <c r="C527" i="4"/>
  <c r="F527" i="4" s="1"/>
  <c r="C528" i="4"/>
  <c r="F528" i="4"/>
  <c r="C529" i="4"/>
  <c r="F529" i="4"/>
  <c r="C530" i="4"/>
  <c r="F530" i="4" s="1"/>
  <c r="C531" i="4"/>
  <c r="F531" i="4" s="1"/>
  <c r="C532" i="4"/>
  <c r="F532" i="4"/>
  <c r="C533" i="4"/>
  <c r="F533" i="4" s="1"/>
  <c r="C534" i="4"/>
  <c r="F534" i="4"/>
  <c r="C535" i="4"/>
  <c r="F535" i="4" s="1"/>
  <c r="C536" i="4"/>
  <c r="F536" i="4" s="1"/>
  <c r="C537" i="4"/>
  <c r="F537" i="4"/>
  <c r="C538" i="4"/>
  <c r="F538" i="4"/>
  <c r="C539" i="4"/>
  <c r="F539" i="4" s="1"/>
  <c r="C540" i="4"/>
  <c r="C541" i="4"/>
  <c r="F541" i="4" s="1"/>
  <c r="C542" i="4"/>
  <c r="C543" i="4"/>
  <c r="F543" i="4"/>
  <c r="C544" i="4"/>
  <c r="F544" i="4"/>
  <c r="C545" i="4"/>
  <c r="F545" i="4" s="1"/>
  <c r="C546" i="4"/>
  <c r="F546" i="4" s="1"/>
  <c r="C547" i="4"/>
  <c r="F547" i="4"/>
  <c r="C548" i="4"/>
  <c r="F548" i="4"/>
  <c r="C549" i="4"/>
  <c r="F549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3" i="4"/>
  <c r="C3" i="4"/>
  <c r="F3" i="4"/>
  <c r="D3" i="4"/>
  <c r="G3" i="4"/>
  <c r="E3" i="4"/>
  <c r="B4" i="4"/>
  <c r="C4" i="4"/>
  <c r="D4" i="4"/>
  <c r="E4" i="4"/>
  <c r="F4" i="4"/>
  <c r="G4" i="4"/>
  <c r="E2" i="4"/>
  <c r="D2" i="4"/>
  <c r="G2" i="4" s="1"/>
  <c r="C2" i="4"/>
  <c r="F2" i="4" s="1"/>
  <c r="B2" i="4"/>
  <c r="G529" i="4"/>
  <c r="G519" i="4"/>
  <c r="G509" i="4"/>
  <c r="G489" i="4"/>
  <c r="G479" i="4"/>
  <c r="G469" i="4"/>
  <c r="G409" i="4"/>
  <c r="G389" i="4"/>
  <c r="G379" i="4"/>
  <c r="G369" i="4"/>
  <c r="G259" i="4"/>
  <c r="G249" i="4"/>
  <c r="G239" i="4"/>
  <c r="G219" i="4"/>
  <c r="G209" i="4"/>
  <c r="G199" i="4"/>
  <c r="G189" i="4"/>
  <c r="G159" i="4"/>
  <c r="G89" i="4"/>
  <c r="G79" i="4"/>
  <c r="G69" i="4"/>
  <c r="G49" i="4"/>
  <c r="G538" i="4"/>
  <c r="G438" i="4"/>
  <c r="G408" i="4"/>
  <c r="G248" i="4"/>
  <c r="G188" i="4"/>
  <c r="G98" i="4"/>
  <c r="G544" i="4"/>
  <c r="G514" i="4"/>
  <c r="G494" i="4"/>
  <c r="G454" i="4"/>
  <c r="G444" i="4"/>
  <c r="G424" i="4"/>
  <c r="G344" i="4"/>
  <c r="G334" i="4"/>
  <c r="G314" i="4"/>
  <c r="G294" i="4"/>
  <c r="G124" i="4"/>
  <c r="G94" i="4"/>
  <c r="G64" i="4"/>
  <c r="G532" i="4"/>
  <c r="G512" i="4"/>
  <c r="G492" i="4"/>
  <c r="G442" i="4"/>
  <c r="G422" i="4"/>
  <c r="G412" i="4"/>
  <c r="G392" i="4"/>
  <c r="G382" i="4"/>
  <c r="G372" i="4"/>
  <c r="G352" i="4"/>
  <c r="G342" i="4"/>
  <c r="G312" i="4"/>
  <c r="G302" i="4"/>
  <c r="G272" i="4"/>
  <c r="G262" i="4"/>
  <c r="G202" i="4"/>
  <c r="G192" i="4"/>
  <c r="G182" i="4"/>
  <c r="G172" i="4"/>
  <c r="G162" i="4"/>
  <c r="G152" i="4"/>
  <c r="G142" i="4"/>
  <c r="G132" i="4"/>
  <c r="G122" i="4"/>
  <c r="G112" i="4"/>
  <c r="G102" i="4"/>
  <c r="G72" i="4"/>
  <c r="G62" i="4"/>
  <c r="G52" i="4"/>
  <c r="G42" i="4"/>
  <c r="G32" i="4"/>
  <c r="G22" i="4"/>
  <c r="G12" i="4"/>
  <c r="G541" i="4"/>
  <c r="G531" i="4"/>
  <c r="G521" i="4"/>
  <c r="G491" i="4"/>
  <c r="G461" i="4"/>
  <c r="G441" i="4"/>
  <c r="G401" i="4"/>
  <c r="G371" i="4"/>
  <c r="G331" i="4"/>
  <c r="G321" i="4"/>
  <c r="G311" i="4"/>
  <c r="G291" i="4"/>
  <c r="G530" i="4"/>
  <c r="G520" i="4"/>
  <c r="G510" i="4"/>
  <c r="G480" i="4"/>
  <c r="G470" i="4"/>
  <c r="G450" i="4"/>
  <c r="G430" i="4"/>
  <c r="G410" i="4"/>
  <c r="G400" i="4"/>
  <c r="G390" i="4"/>
  <c r="G380" i="4"/>
  <c r="G370" i="4"/>
  <c r="G350" i="4"/>
  <c r="G340" i="4"/>
  <c r="G330" i="4"/>
  <c r="G260" i="4"/>
  <c r="G250" i="4"/>
  <c r="G220" i="4"/>
  <c r="G210" i="4"/>
  <c r="G180" i="4"/>
  <c r="G130" i="4"/>
  <c r="G90" i="4"/>
  <c r="G70" i="4"/>
  <c r="G60" i="4"/>
  <c r="G50" i="4"/>
  <c r="G30" i="4"/>
  <c r="G20" i="4"/>
  <c r="G10" i="4"/>
  <c r="G504" i="4"/>
  <c r="G474" i="4"/>
  <c r="G394" i="4"/>
  <c r="G324" i="4"/>
  <c r="G304" i="4"/>
  <c r="G234" i="4"/>
  <c r="G164" i="4"/>
  <c r="G154" i="4"/>
  <c r="G144" i="4"/>
  <c r="G134" i="4"/>
  <c r="G104" i="4"/>
  <c r="G84" i="4"/>
  <c r="G74" i="4"/>
  <c r="G54" i="4"/>
  <c r="G34" i="4"/>
  <c r="G548" i="4"/>
  <c r="G528" i="4"/>
  <c r="G518" i="4"/>
  <c r="G508" i="4"/>
  <c r="G488" i="4"/>
  <c r="G478" i="4"/>
  <c r="G468" i="4"/>
  <c r="G458" i="4"/>
  <c r="G388" i="4"/>
  <c r="G288" i="4"/>
  <c r="G278" i="4"/>
  <c r="G268" i="4"/>
  <c r="G258" i="4"/>
  <c r="G238" i="4"/>
  <c r="G228" i="4"/>
  <c r="G208" i="4"/>
  <c r="G198" i="4"/>
  <c r="G148" i="4"/>
  <c r="G118" i="4"/>
  <c r="G108" i="4"/>
  <c r="G88" i="4"/>
  <c r="G68" i="4"/>
  <c r="G58" i="4"/>
  <c r="G28" i="4"/>
  <c r="G18" i="4"/>
  <c r="G8" i="4"/>
  <c r="G487" i="4"/>
  <c r="G457" i="4"/>
  <c r="G437" i="4"/>
  <c r="G397" i="4"/>
  <c r="G367" i="4"/>
  <c r="G347" i="4"/>
  <c r="G327" i="4"/>
  <c r="G307" i="4"/>
  <c r="G277" i="4"/>
  <c r="G257" i="4"/>
  <c r="G237" i="4"/>
  <c r="G137" i="4"/>
  <c r="G127" i="4"/>
  <c r="G117" i="4"/>
  <c r="G107" i="4"/>
  <c r="G87" i="4"/>
  <c r="G67" i="4"/>
  <c r="G47" i="4"/>
  <c r="G37" i="4"/>
  <c r="G17" i="4"/>
  <c r="G7" i="4"/>
  <c r="G546" i="4"/>
  <c r="G506" i="4"/>
  <c r="G486" i="4"/>
  <c r="G456" i="4"/>
  <c r="G436" i="4"/>
  <c r="G406" i="4"/>
  <c r="G366" i="4"/>
  <c r="G356" i="4"/>
  <c r="G336" i="4"/>
  <c r="G316" i="4"/>
  <c r="G306" i="4"/>
  <c r="G286" i="4"/>
  <c r="G276" i="4"/>
  <c r="G266" i="4"/>
  <c r="G256" i="4"/>
  <c r="G236" i="4"/>
  <c r="G176" i="4"/>
  <c r="G146" i="4"/>
  <c r="G126" i="4"/>
  <c r="G116" i="4"/>
  <c r="G106" i="4"/>
  <c r="G86" i="4"/>
  <c r="G66" i="4"/>
  <c r="G46" i="4"/>
  <c r="G26" i="4"/>
  <c r="G16" i="4"/>
  <c r="G6" i="4"/>
  <c r="G29" i="4"/>
  <c r="G19" i="4"/>
  <c r="G434" i="4" l="1"/>
  <c r="G139" i="4"/>
  <c r="G349" i="4"/>
  <c r="F433" i="4"/>
  <c r="F426" i="4"/>
  <c r="F357" i="4"/>
  <c r="G526" i="4"/>
  <c r="F427" i="4"/>
  <c r="G427" i="4"/>
  <c r="G168" i="4"/>
  <c r="G140" i="4"/>
  <c r="G83" i="4"/>
  <c r="F83" i="4"/>
  <c r="F525" i="4"/>
  <c r="G300" i="4"/>
  <c r="G200" i="4"/>
  <c r="F200" i="4"/>
  <c r="G338" i="4"/>
  <c r="F338" i="4"/>
  <c r="G309" i="4"/>
  <c r="G253" i="4"/>
  <c r="G33" i="4"/>
  <c r="G459" i="4"/>
  <c r="G449" i="4"/>
  <c r="G225" i="4"/>
  <c r="F267" i="4"/>
  <c r="F91" i="4"/>
  <c r="G358" i="4"/>
  <c r="G485" i="4"/>
  <c r="F381" i="4"/>
  <c r="G381" i="4"/>
  <c r="F251" i="4"/>
  <c r="G251" i="4"/>
  <c r="G417" i="4"/>
  <c r="F417" i="4"/>
  <c r="F301" i="4"/>
  <c r="F92" i="4"/>
  <c r="G403" i="4"/>
  <c r="F300" i="4"/>
  <c r="G542" i="4"/>
  <c r="F440" i="4"/>
  <c r="F292" i="4"/>
  <c r="F199" i="4"/>
  <c r="G484" i="4"/>
  <c r="G233" i="4"/>
  <c r="F322" i="4"/>
  <c r="G481" i="4"/>
  <c r="F443" i="4"/>
  <c r="G443" i="4"/>
  <c r="F365" i="4"/>
  <c r="F540" i="4"/>
  <c r="F459" i="4"/>
  <c r="F284" i="4"/>
  <c r="F82" i="4"/>
  <c r="G483" i="4"/>
  <c r="G419" i="4"/>
  <c r="G141" i="4"/>
  <c r="F442" i="4"/>
  <c r="F245" i="4"/>
  <c r="F176" i="4"/>
  <c r="G463" i="4"/>
  <c r="G287" i="4"/>
  <c r="G185" i="4"/>
  <c r="G169" i="4"/>
  <c r="G516" i="4"/>
  <c r="G507" i="4"/>
  <c r="G326" i="4"/>
  <c r="G299" i="4"/>
  <c r="G223" i="4"/>
  <c r="F396" i="4"/>
  <c r="F299" i="4"/>
  <c r="F59" i="4"/>
  <c r="G515" i="4"/>
  <c r="G413" i="4"/>
  <c r="G343" i="4"/>
  <c r="G333" i="4"/>
  <c r="G197" i="4"/>
  <c r="F345" i="4"/>
  <c r="G455" i="4"/>
  <c r="G429" i="4"/>
  <c r="G315" i="4"/>
  <c r="G230" i="4"/>
  <c r="G11" i="4"/>
  <c r="F448" i="4"/>
  <c r="F274" i="4"/>
  <c r="F228" i="4"/>
  <c r="G537" i="4"/>
  <c r="G522" i="4"/>
  <c r="G280" i="4"/>
  <c r="G445" i="4"/>
  <c r="G310" i="4"/>
  <c r="G216" i="4"/>
  <c r="G75" i="4"/>
  <c r="G138" i="4"/>
  <c r="G105" i="4"/>
  <c r="G166" i="4"/>
  <c r="G113" i="4"/>
  <c r="G120" i="4"/>
  <c r="G407" i="4"/>
  <c r="G143" i="4"/>
  <c r="F223" i="4"/>
  <c r="G328" i="4"/>
  <c r="G171" i="4"/>
  <c r="G423" i="4"/>
</calcChain>
</file>

<file path=xl/sharedStrings.xml><?xml version="1.0" encoding="utf-8"?>
<sst xmlns="http://purl.oclc.org/ooxml/spreadsheetml/main" count="6006" uniqueCount="2595">
  <si>
    <t>All Transactions Announced Date</t>
  </si>
  <si>
    <t>Target/Issuer</t>
  </si>
  <si>
    <t>Exchange:Ticker</t>
  </si>
  <si>
    <t>Transaction Types</t>
  </si>
  <si>
    <t>Transaction Status</t>
  </si>
  <si>
    <t>Total Transaction Value ($USDmm, Historical rate)</t>
  </si>
  <si>
    <t>Buyers/Investors</t>
  </si>
  <si>
    <t>Sellers</t>
  </si>
  <si>
    <t>CIQ Transaction ID</t>
  </si>
  <si>
    <t>M&amp;A Announced Date</t>
  </si>
  <si>
    <t>Industry Classifications [Target/Issuer]</t>
  </si>
  <si>
    <t>Target/Issuer LTM Financials - Total Revenue (at Announcement) ($USDmm, Historical rate)</t>
  </si>
  <si>
    <t>M&amp;A Closed Date</t>
  </si>
  <si>
    <t>EBITDA [LTM] ($USDmm, Historical rate) [Target/Issuer]</t>
  </si>
  <si>
    <t>Merger/Acquisition Features</t>
  </si>
  <si>
    <t>NTT DATA Group Corporation</t>
  </si>
  <si>
    <t>-</t>
  </si>
  <si>
    <t>Merger/Acquisition</t>
  </si>
  <si>
    <t>Closed</t>
  </si>
  <si>
    <t>IQTR1942758117</t>
  </si>
  <si>
    <t>Software and Services (Primary)</t>
  </si>
  <si>
    <t>Acquisition of Minority Stake; Cash Merger; Going Private Transaction; Majority Shareholder Increasing Ownership Stake; Majority Shareholder Purchasing Remaining Shares; Squeeze Out / Short Form Merger; Tender Offer; Tender Offer (Full Bid)</t>
  </si>
  <si>
    <t>VMware LLC</t>
  </si>
  <si>
    <t>Broadcom Inc. (NasdaqGS:AVGO)</t>
  </si>
  <si>
    <t>Silver Lake Technology Management, L.L.C.; Dodge &amp; Cox; Silver Lake Partners V DE (AIV), L.P.</t>
  </si>
  <si>
    <t>IQTR1784746799</t>
  </si>
  <si>
    <t>Acquisition of Majority Stake; Go Shop Provision</t>
  </si>
  <si>
    <t>Atos Group (ENXTPA:ATO)</t>
  </si>
  <si>
    <t>ENXTPA:ATO</t>
  </si>
  <si>
    <t>Onepoint SAS</t>
  </si>
  <si>
    <t>IQTR1860930383</t>
  </si>
  <si>
    <t>Acquisition of Minority Stake; Terms Not Disclosed</t>
  </si>
  <si>
    <t>DataCenter Infrastructure Manufacturing Business of ZT Group Intl, Inc.</t>
  </si>
  <si>
    <t>Sanmina Corporation (NasdaqGS:SANM)</t>
  </si>
  <si>
    <t>ZT Group Intl, Inc.</t>
  </si>
  <si>
    <t>IQTR1944075963</t>
  </si>
  <si>
    <t>Acquisition of Majority Stake; Corporate Divestiture; Earnout Payments</t>
  </si>
  <si>
    <t>Juniper Networks, Inc.</t>
  </si>
  <si>
    <t>Hewlett Packard Enterprise Company (NYSE:HPE)</t>
  </si>
  <si>
    <t>IQTR1867916120</t>
  </si>
  <si>
    <t>Acquisition of Majority Stake; Cash Merger</t>
  </si>
  <si>
    <t>Indra Sistemas, S.A. (BME:IDR)</t>
  </si>
  <si>
    <t>BME:IDR</t>
  </si>
  <si>
    <t>Escribano Mechanical And Engineering, S.L.</t>
  </si>
  <si>
    <t>IQTR1912024769</t>
  </si>
  <si>
    <t>Acquisition of Minority Stake; Minority Shareholder Increasing Ownership Stake; Terms Not Disclosed</t>
  </si>
  <si>
    <t>Nomura Research Institute, Ltd. (TSE:4307)</t>
  </si>
  <si>
    <t>TSE:4307</t>
  </si>
  <si>
    <t>Nomura Holdings, Inc. (TSE:8604)</t>
  </si>
  <si>
    <t>IQTR1776383559</t>
  </si>
  <si>
    <t>Acquisition of Minority Stake</t>
  </si>
  <si>
    <t>SCSK Corporation</t>
  </si>
  <si>
    <t>Sumitomo Corporation (TSE:8053)</t>
  </si>
  <si>
    <t>ARGO GRAPHICS Inc. (TSE:7595); State Street Bank &amp; Trust Company 505001; State Street Bank and Trust Company 510312; Government Of Norway; State Street Bank West Client - Treaty 505234; Custody Bank of Japan, Ltd. (Trust Account); The Master Trust Bank of Japan, Ltd. (Trust Account); Custody Bank of Japan, Ltd. (Trust Account 4)</t>
  </si>
  <si>
    <t>IQTR1967911118</t>
  </si>
  <si>
    <t>Acquisition of Minority Stake; Majority Shareholder Increasing Ownership Stake; Tender Offer; Tender Offer (Full Bid)</t>
  </si>
  <si>
    <t>iSoftStone Information Technology (Group) Co., Ltd. (SZSE:301236)</t>
  </si>
  <si>
    <t>SZSE:301236</t>
  </si>
  <si>
    <t>UBS Group AG (SWX:UBSG); Morgan Stanley &amp; Co. International plc; Guotai Haitong Securities Co., Ltd. (SHSE:601211); J.P. Morgan Securities plc; GF Securities Co., Ltd. (SZSE:000776); Sealand Securities Co., Ltd. (SZSE:000750); China Asset Management Co. Ltd.; E Fund Management Co., Ltd.; Nuode Asset Management Co., Ltd.; Caitong Fund Management Co., Ltd.; Dajia Asset Management Co., Ltd.; Zhong Ou Fund Management Co., Ltd; Shanghai Muxin Private Fund Management Co., Ltd.; Yingshui Investment Co., Ltd.; Shenzhen Commando Capital Management Co., Ltd.; Hangzhou Lexin Investment Management Co., Ltd.; Hunan Chasing Asset Management Co.,Ltd.; Nanjing Shengquan Hengyuan Investment Co., Ltd.; Ningbo Meishan Bonded Port Lingding Investment Management Co., Ltd.; Qingdao Luxiu Investment Management Co., Ltd.; Shanghai Qinsheng Private Fund Management Co., Ltd.; Zhijian (Shaoxing Keqiao) Private Equity Fund Management Co., Ltd.; Beijing Pingfan Private Equity Fund Management Co., Ltd.; Huaan Securities Asset Management Co., Ltd.; Chengdu Fuende Tongchuang Asset Management Co., Ltd; Shanghai Dunyuan Private Equity Fund Management Co., Ltd; Beijing Yuexi Private Fund Management Co., Ltd; Xiamen Fengqiaolin Private Fund Management Co., Ltd</t>
  </si>
  <si>
    <t>FNOF Easynet (HK) Limited</t>
  </si>
  <si>
    <t>IQTR1955725309</t>
  </si>
  <si>
    <t>Acquisition of Minority Stake; Cross-Border</t>
  </si>
  <si>
    <t>JPMorgan Chase &amp; Co. (NYSE:JPM)</t>
  </si>
  <si>
    <t>IQTR1863840995</t>
  </si>
  <si>
    <t>IQTR1862954563</t>
  </si>
  <si>
    <t>Acquisition of Minority Stake; Minority Shareholder Increasing Ownership Stake</t>
  </si>
  <si>
    <t>IQTR1838306852</t>
  </si>
  <si>
    <t>Asseco Poland S.A. (WSE:ACP)</t>
  </si>
  <si>
    <t>WSE:ACP</t>
  </si>
  <si>
    <t>Yukon Niebieski Kapital B.V.</t>
  </si>
  <si>
    <t>Cyfrowy Polsat S.A. (WSE:CPS)</t>
  </si>
  <si>
    <t>IQTR1929482728</t>
  </si>
  <si>
    <t>ITOCHU Techno-Solutions Corporation</t>
  </si>
  <si>
    <t>ITOCHU Corporation (TSE:8001)</t>
  </si>
  <si>
    <t>IQTR1850957260</t>
  </si>
  <si>
    <t>SAPA Placencia Holding, S.L.</t>
  </si>
  <si>
    <t>Corporación Financiera Alba, S.A.</t>
  </si>
  <si>
    <t>IQTR1785931677</t>
  </si>
  <si>
    <t>Splunk Inc.</t>
  </si>
  <si>
    <t>Cisco Systems, Inc. (NasdaqGS:CSCO)</t>
  </si>
  <si>
    <t>Hellman &amp; Friedman LLC; Silver Lake Technology Management, L.L.C.; BlackRock, Inc. (NYSE:BLK); The Vanguard Group, Inc.; PRIMECAP Management Company</t>
  </si>
  <si>
    <t>IQTR1856318900</t>
  </si>
  <si>
    <t>IQTR1762042686</t>
  </si>
  <si>
    <t>Goldman Sachs (Singapore) Pte</t>
  </si>
  <si>
    <t>IQTR1816233358</t>
  </si>
  <si>
    <t>Acquisition of Minority Stake; Cross-Border; Minority Shareholder Increasing Ownership Stake</t>
  </si>
  <si>
    <t>Tieto Oyj (HLSE:TIETO)</t>
  </si>
  <si>
    <t>HLSE:TIETO</t>
  </si>
  <si>
    <t>IQTR1680643570</t>
  </si>
  <si>
    <t>Citrix Systems, Inc.</t>
  </si>
  <si>
    <t>Cloud Software Group, Inc.</t>
  </si>
  <si>
    <t>BlackRock, Inc. (NYSE:BLK); The Vanguard Group, Inc.; Elliott Management Corporation; T. Rowe Price Associates, Inc.</t>
  </si>
  <si>
    <t>IQTR1765987121</t>
  </si>
  <si>
    <t>Acquisition of Majority Stake; Cash Merger; Going Private Transaction; Leveraged Buy Out (LBO)</t>
  </si>
  <si>
    <t>Silchester International Investors LLP</t>
  </si>
  <si>
    <t>IQTR1853829677</t>
  </si>
  <si>
    <t>Acquisition of Minority Stake; Cross-Border; Minority Shareholder Increasing Ownership Stake; Terms Not Disclosed</t>
  </si>
  <si>
    <t>Micro Focus International Limited</t>
  </si>
  <si>
    <t>Open Text Corporation (NasdaqGS:OTEX)</t>
  </si>
  <si>
    <t>Dodge &amp; Cox</t>
  </si>
  <si>
    <t>IQTR1798157276</t>
  </si>
  <si>
    <t>Acquisition of Majority Stake; Cash Merger; Cross-Border</t>
  </si>
  <si>
    <t>Sinch AB (publ) (OM:SINCH)</t>
  </si>
  <si>
    <t>OM:SINCH</t>
  </si>
  <si>
    <t>Swedbank Robur Fonder AB</t>
  </si>
  <si>
    <t>IQTR1821576629</t>
  </si>
  <si>
    <t>ANSYS, Inc.</t>
  </si>
  <si>
    <t>Synopsys, Inc. (NasdaqGS:SNPS)</t>
  </si>
  <si>
    <t>BlackRock, Inc. (NYSE:BLK); The Vanguard Group, Inc.</t>
  </si>
  <si>
    <t>IQTR1868555623</t>
  </si>
  <si>
    <t>Acquisition of Majority Stake</t>
  </si>
  <si>
    <t>NEC Networks &amp; System Integration Corporation</t>
  </si>
  <si>
    <t>NEC Corporation (TSE:6701)</t>
  </si>
  <si>
    <t>Sumitomo Realty &amp; Development Co., Ltd. (TSE:8830); The Master Trust Bank of Japan, Ltd.; Norway; State Street Bank and Trust Company 510312; BNY GCM CLIENT ACCOUNT JPRD AC ISG (FE-AC); JP Morgan Chase Bank 385632; Custody Bank of Japan, Ltd. (Trust Account); Employees’ Stock Ownership Plan of NEC Networks &amp; System</t>
  </si>
  <si>
    <t>IQTR1902207620</t>
  </si>
  <si>
    <t>Acquisition of Minority Stake; Majority Shareholder Increasing Ownership Stake; Tender Offer; Tender Offer (Partial Bid)</t>
  </si>
  <si>
    <t>Visma AS</t>
  </si>
  <si>
    <t>GIC Private Limited; Folketrygdfondet; Aeternum Management AS; Vind Group</t>
  </si>
  <si>
    <t>IQTR1681724164</t>
  </si>
  <si>
    <t>Acquisition of Minority Stake; Cross-Border; Terms Not Disclosed</t>
  </si>
  <si>
    <t>Fuji Soft Incorporated</t>
  </si>
  <si>
    <t>KKR &amp; Co. Inc. (NYSE:KKR)</t>
  </si>
  <si>
    <t>Farallon Capital Management, L.L.C.; Custody Bank of Japan, Ltd.; The Master Trust Bank of Japan, Ltd.; State Street Bank And Trust Company; Yugen Kaisha NFC; 3D Investment Partners Pte. Ltd; Goldman Sachs &amp; Co. REG; Cabrillo Funding Ltd.</t>
  </si>
  <si>
    <t>IQTR1890818396</t>
  </si>
  <si>
    <t>Acquisition of Minority Stake; Cross-Border; Tender Offer; Tender Offer (Full Bid)</t>
  </si>
  <si>
    <t>Neqst D2 AB</t>
  </si>
  <si>
    <t>SoftBank Corp. (TSE:9434)</t>
  </si>
  <si>
    <t>IQTR1802771200</t>
  </si>
  <si>
    <t>Acquisition of Minority Stake; Management Participated; Minority Shareholder Increasing Ownership Stake; Terms Not Disclosed</t>
  </si>
  <si>
    <t>Sirius Computer Solutions, LLC.</t>
  </si>
  <si>
    <t>CDW LLC</t>
  </si>
  <si>
    <t>Clayton, Dubilier &amp; Rice, LLC</t>
  </si>
  <si>
    <t>IQTR1685463254</t>
  </si>
  <si>
    <t>Custody Bank of Japan, Ltd.; Tokyo Century Corporation (TSE:8439); The Master Trust Bank of Japan, Ltd.; State Street Bank And Trust Company; Yugen Kaisha NFC; The Hongkong And Shanghai Banking Corp. Ltd. Tokyo Branch; Goldman Sachs &amp; Co. REG; Cabrillo Funding Ltd.</t>
  </si>
  <si>
    <t>IQTR1904331229</t>
  </si>
  <si>
    <t>Acquisition of Majority Stake; Cash Merger; Cross-Border; Going Private Transaction; Leveraged Buy Out (LBO); Minority Shareholder Increasing Ownership Stake; Minority Shareholder Purchasing Remaining Shares; Squeeze Out / Short Form Merger; Tender Offer; Tender Offer (Full Bid)</t>
  </si>
  <si>
    <t>vCORE Technology Partners, LLC</t>
  </si>
  <si>
    <t>AHEAD, Inc.</t>
  </si>
  <si>
    <t>IQTR1773626089</t>
  </si>
  <si>
    <t>Acquisition of Majority Stake; Terms Not Disclosed</t>
  </si>
  <si>
    <t>McAfee Corp.</t>
  </si>
  <si>
    <t>Advent International, L.P.; Permira Advisers Ltd.; GIC Private Limited; Canada Pension Plan Investment Board; Abu Dhabi Investment Authority; Crosspoint Capital Partners, LP</t>
  </si>
  <si>
    <t>McAfee, LLC; TPG Global, LLC; TPG VII Manta AIV Co-Invest, L.P.; TPG VII Manta Blocker Co-Invest I, L.P.; TPG VII Manta AIV I, L.P.; TPG VII Manta Holdings II, L.P.; TPG VII Side-by-Side Separate Account I, L.P.</t>
  </si>
  <si>
    <t>IQTR1757348954</t>
  </si>
  <si>
    <t>Acquisition of Majority Stake; Cash Merger; Cross-Border; Go Shop Provision; Going Private Transaction</t>
  </si>
  <si>
    <t>Converge Technology Solutions Corp.</t>
  </si>
  <si>
    <t>Mainline Information Systems, LLC</t>
  </si>
  <si>
    <t>Mawer Investment Management Ltd.; Mcmillan Family Foundation; 2491626 Ontario Inc.; Acoma Investments Limited</t>
  </si>
  <si>
    <t>IQTR1930420741</t>
  </si>
  <si>
    <t>Acquisition of Majority Stake; Cash Merger; Consolidation/Roll Up; Cross-Border; Going Private Transaction</t>
  </si>
  <si>
    <t>AKKA Technologies SE</t>
  </si>
  <si>
    <t>Akkodis Group AG</t>
  </si>
  <si>
    <t>IQTR1772509697</t>
  </si>
  <si>
    <t>Acquisition of Minority Stake; Cross-Border; Majority Shareholder Increasing Ownership Stake; Majority Shareholder Purchasing Remaining Shares; Squeeze Out / Short Form Merger; Tender Offer; Tender Offer (Partial Bid)</t>
  </si>
  <si>
    <t>CDK Global, LLC</t>
  </si>
  <si>
    <t>Brookfield Business Corporation (TSX:BBUC)</t>
  </si>
  <si>
    <t>IQTR1777417497</t>
  </si>
  <si>
    <t>Acquisition of Majority Stake; Cash Merger; Cross-Border; Going Private Transaction; Leveraged Buy Out (LBO); Squeeze Out / Short Form Merger; Tender Offer; Tender Offer (Full Bid)</t>
  </si>
  <si>
    <t>Vantor Parent Inc.</t>
  </si>
  <si>
    <t>Advent International, L.P.; British Columbia Investment Management Corporation</t>
  </si>
  <si>
    <t>IQTR1818826920</t>
  </si>
  <si>
    <t>Acquisition of Majority Stake; Cash Merger; Cross-Border; Go Shop Provision; Leveraged Buy Out (LBO)</t>
  </si>
  <si>
    <t>Noventiq Holdings plc</t>
  </si>
  <si>
    <t>Softline Group</t>
  </si>
  <si>
    <t>IQTR1760525650</t>
  </si>
  <si>
    <t>Informatica Inc.</t>
  </si>
  <si>
    <t>Salesforce, Inc. (NYSE:CRM)</t>
  </si>
  <si>
    <t>Bank of America Corporation (NYSE:BAC); Canada Pension Plan Investment Board; EvomLux S.à r.l.; Ithaca Limited; 13381986 Canada, Inc.</t>
  </si>
  <si>
    <t>IQTR1945143029</t>
  </si>
  <si>
    <t>Exclusive Networks SA</t>
  </si>
  <si>
    <t>Clayton, Dubilier &amp; Rice, LLC; Permira Advisers Ltd.</t>
  </si>
  <si>
    <t>IQTR1888824933</t>
  </si>
  <si>
    <t>Acquisition of Minority Stake; Cash Merger; Cross-Border; Going Private Transaction; Majority Shareholder Increasing Ownership Stake; Squeeze Out / Short Form Merger; Tender Offer; Tender Offer (Full Bid)</t>
  </si>
  <si>
    <t>Permira Advisers Ltd.</t>
  </si>
  <si>
    <t>IQTR1887815986</t>
  </si>
  <si>
    <t>Acquisition of Majority Stake; Cross-Border; Equity Reinvestment; Leveraged Buy Out (LBO)</t>
  </si>
  <si>
    <t>Black Knight, Inc.</t>
  </si>
  <si>
    <t>Intercontinental Exchange, Inc. (NYSE:ICE)</t>
  </si>
  <si>
    <t>IQTR1781572984</t>
  </si>
  <si>
    <t>Kontron AG (XTRA:KTN)</t>
  </si>
  <si>
    <t>XTRA:KTN</t>
  </si>
  <si>
    <t>Grosso Tec AG</t>
  </si>
  <si>
    <t>IQTR1775144551</t>
  </si>
  <si>
    <t>Acquisition of Minority Stake; Cross-Border; Tender Offer; Tender Offer (Partial Bid)</t>
  </si>
  <si>
    <t>VNET Group, Inc. (NasdaqGS:VNET)</t>
  </si>
  <si>
    <t>NasdaqGS:VNET</t>
  </si>
  <si>
    <t>PJ Millennium Limited Partnership</t>
  </si>
  <si>
    <t>Shandong Hi-Speed Holdings Group Limited (SEHK:412)</t>
  </si>
  <si>
    <t>IQTR2000373976</t>
  </si>
  <si>
    <t>Net One Systems Co., Ltd.</t>
  </si>
  <si>
    <t>Meiji Yasuda Life Insurance Company; Taiyo Pacific Partners L.P.; Custody Bank of Japan, Ltd.; The Master Trust Bank of Japan, Ltd.; State Street Bank &amp; Trust Company 505001; State Street Bank And Trust Company 505227; The Bank of New York Mellon 140044; CGML PB CLIENT ACCOUNT/COLLATERAL; JP Morgan Chase Bank 385781; Government Of Norway; State Street Bank West Client - Treaty 505234; NORTHERN TRUST CO. (AVFC) RE FIDELITY FUNDS</t>
  </si>
  <si>
    <t>IQTR1903250285</t>
  </si>
  <si>
    <t>Acquisition of Majority Stake; Tender Offer; Tender Offer (Full Bid)</t>
  </si>
  <si>
    <t>Qualtrics International Inc.</t>
  </si>
  <si>
    <t>Silver Lake Technology Management, L.L.C.; Canada Pension Plan Investment Board</t>
  </si>
  <si>
    <t>The Vanguard Group, Inc.; SAP America, Inc.</t>
  </si>
  <si>
    <t>IQTR1829326219</t>
  </si>
  <si>
    <t>Acquisition of Majority Stake; Cash Merger; Cross-Border; Going Private Transaction; Minority Shareholder Increasing Ownership Stake</t>
  </si>
  <si>
    <t>Zendesk, Inc.</t>
  </si>
  <si>
    <t>Hellman &amp; Friedman LLC; Permira Advisers Ltd.; GIC Private Limited; Abu Dhabi Investment Authority</t>
  </si>
  <si>
    <t>BlackRock, Inc. (NYSE:BLK); The Vanguard Group, Inc.; Capital World Investors; Light Street Capital Management, LLC</t>
  </si>
  <si>
    <t>IQTR1788006790</t>
  </si>
  <si>
    <t>Acquisition of Majority Stake; Cash Merger; Cross-Border; Going Private Transaction</t>
  </si>
  <si>
    <t>Systex Corporation (TWSE:6214)</t>
  </si>
  <si>
    <t>TWSE:6214</t>
  </si>
  <si>
    <t>IQTR1981910022</t>
  </si>
  <si>
    <t>AVEVA Group Limited</t>
  </si>
  <si>
    <t>Schneider Electric S.E. (ENXTPA:SU)</t>
  </si>
  <si>
    <t>IQTR1801227134</t>
  </si>
  <si>
    <t>Mindtree Limited</t>
  </si>
  <si>
    <t>LTM Limited (NSEI:LTM)</t>
  </si>
  <si>
    <t>IQTR1781913531</t>
  </si>
  <si>
    <t>Acquisition of Majority Stake; Stock Merger</t>
  </si>
  <si>
    <t>Envestnet, Inc.</t>
  </si>
  <si>
    <t>Franklin Templeton Inc. (NYSE:BEN); BlackRock, Inc. (NYSE:BLK); State Street Investment Management; Bain Capital Private Equity, LP; Reverence Capital Partners, L.P.; FMR LLC</t>
  </si>
  <si>
    <t>BlackRock, Inc. (NYSE:BLK); The Vanguard Group, Inc.; FMR LLC; Impactive Capital LP</t>
  </si>
  <si>
    <t>IQTR1887698908</t>
  </si>
  <si>
    <t>Acquisition of Majority Stake; Cash Merger; Equity Reinvestment; Going Private Transaction; Leveraged Buy Out (LBO)</t>
  </si>
  <si>
    <t>360 Security Technology Inc. (SHSE:601360)</t>
  </si>
  <si>
    <t>SHSE:601360</t>
  </si>
  <si>
    <t>IQTR1841667695</t>
  </si>
  <si>
    <t>Acquisition of Minority Stake; Individual Investors Participated; Terms Not Disclosed</t>
  </si>
  <si>
    <t>Vonage Holdings Corp.</t>
  </si>
  <si>
    <t>Telefonaktiebolaget LM Ericsson (publ) (OM:ERIC B)</t>
  </si>
  <si>
    <t>BlackRock, Inc. (NYSE:BLK); The Vanguard Group, Inc.; JANA Partners LLC; Janus Henderson Group Ltd.</t>
  </si>
  <si>
    <t>IQTR1759281617</t>
  </si>
  <si>
    <t>CoreWeave, Inc. (NasdaqGS:CRWV)</t>
  </si>
  <si>
    <t>NasdaqGS:CRWV</t>
  </si>
  <si>
    <t>Blick Global Group AB (publ) (NGM:BLICK)</t>
  </si>
  <si>
    <t>IQTR1903241894</t>
  </si>
  <si>
    <t>CyberArk Software Ltd.</t>
  </si>
  <si>
    <t>Athens Strategies Ltd</t>
  </si>
  <si>
    <t>FMR LLC</t>
  </si>
  <si>
    <t>IQTR1955108370</t>
  </si>
  <si>
    <t>SII S.A.</t>
  </si>
  <si>
    <t>IQTR1888394514</t>
  </si>
  <si>
    <t>Acquisition of Minority Stake; Going Private Transaction; Management Participated; Minority Shareholder Increasing Ownership Stake; Squeeze Out / Short Form Merger; Tender Offer; Tender Offer (Full Bid)</t>
  </si>
  <si>
    <t>Aspen Technology, Inc.</t>
  </si>
  <si>
    <t>Emerson Electric Co. (NYSE:EMR)</t>
  </si>
  <si>
    <t>Elliott Investment Management L.P.</t>
  </si>
  <si>
    <t>IQTR1903107882</t>
  </si>
  <si>
    <t>Acquisition of Minority Stake; Cash Merger; Majority Shareholder Increasing Ownership Stake; Majority Shareholder Purchasing Remaining Shares; Squeeze Out / Short Form Merger; Tender Offer; Tender Offer (Full Bid)</t>
  </si>
  <si>
    <t>Confluent, Inc.</t>
  </si>
  <si>
    <t>International Business Machines Corporation (NYSE:IBM)</t>
  </si>
  <si>
    <t>Battery Ventures L.P.; Benchmark; Sequoia Capital Operations LLC; Index Ventures SA; The Vanguard Group, Inc.; Point72 Asset Management, L.P.; Trouvaille ANK Trust; Junípero Capital</t>
  </si>
  <si>
    <t>IQTR1973474553</t>
  </si>
  <si>
    <t>Squarespace, Inc.</t>
  </si>
  <si>
    <t>Accel Management Co, Inc.; General Atlantic Service Company, L.P.; Permira Advisers LLC</t>
  </si>
  <si>
    <t>Accel Management Co, Inc.; General Atlantic Service Company, L.P.; The Vanguard Group, Inc.; Wellington Management Group LLP; Glazer Capital, LLC; Dragoneer Investment Group, LLC</t>
  </si>
  <si>
    <t>IQTR1880889937</t>
  </si>
  <si>
    <t>Acquisition of Majority Stake; Cash Merger; Equity Reinvestment; Going Private Transaction; Leveraged Buy Out (LBO); Management Participated; Tender Offer; Tender Offer (Full Bid)</t>
  </si>
  <si>
    <t>Software GmbH</t>
  </si>
  <si>
    <t>Silver Lake Technology Management, L.L.C.</t>
  </si>
  <si>
    <t>Bain Capital, LP; Software AG Stiftung; Rocket Software International (Uk) Limited</t>
  </si>
  <si>
    <t>IQTR1834779592</t>
  </si>
  <si>
    <t>Acquisition of Majority Stake; Cross-Border; Leveraged Buy Out (LBO); Tender Offer; Tender Offer (Full Bid)</t>
  </si>
  <si>
    <t>IQTR1870160384</t>
  </si>
  <si>
    <t>Acquisition of Minority Stake; Cash Merger; Cross-Border; Going Private Transaction; Majority Shareholder Increasing Ownership Stake; Majority Shareholder Purchasing Remaining Shares; Squeeze Out / Short Form Merger; Tender Offer; Tender Offer (Full Bid)</t>
  </si>
  <si>
    <t>Silver Lake Technology Management, L.L.C.; Software GmbH</t>
  </si>
  <si>
    <t>IQTR1859816481</t>
  </si>
  <si>
    <t>Acquisition of Minority Stake; Cross-Border; Majority Shareholder Increasing Ownership Stake; Terms Not Disclosed</t>
  </si>
  <si>
    <t>Smartsheet Inc.</t>
  </si>
  <si>
    <t>Vista Equity Partners Management, LLC; Blackstone Management Partners L.L.C.; Platinum Falcon B 2018 Rsc Ltd</t>
  </si>
  <si>
    <t>Alamar Capital Management, LLC</t>
  </si>
  <si>
    <t>IQTR1898365319</t>
  </si>
  <si>
    <t>Acquisition of Majority Stake; Cross-Border; Go Shop Provision; Going Private Transaction; Leveraged Buy Out (LBO); Minority Shareholder Increasing Ownership Stake</t>
  </si>
  <si>
    <t>Thoughtworks Holding, Inc.</t>
  </si>
  <si>
    <t>Apax Partners LLP; Turing EquityCo II L.P.</t>
  </si>
  <si>
    <t>Siemens AG; Fabric Ventures Group S.à r.l.; IOSG Ventures; Turing EquityCo II L.P.</t>
  </si>
  <si>
    <t>IQTR1890448244</t>
  </si>
  <si>
    <t>Acquisition of Minority Stake; Cash Merger; Cross-Border; Equity Reinvestment; Going Private Transaction</t>
  </si>
  <si>
    <t>AsiaInfo Technologies Limited (SEHK:1675)</t>
  </si>
  <si>
    <t>SEHK:1675</t>
  </si>
  <si>
    <t>Asiainfo Security Technologies Co.,Ltd. (SHSE:688225)</t>
  </si>
  <si>
    <t>Skipper Investment Limited</t>
  </si>
  <si>
    <t>IQTR1868785095</t>
  </si>
  <si>
    <t>Seidor, S.A.</t>
  </si>
  <si>
    <t>The Carlyle Group Inc. (NasdaqGS:CG)</t>
  </si>
  <si>
    <t>IQTR1888805094</t>
  </si>
  <si>
    <t>Acquisition of Majority Stake; Cross-Border; Family Succession; Leveraged Buy Out (LBO)</t>
  </si>
  <si>
    <t>Devoteam SA</t>
  </si>
  <si>
    <t>Devoteam Group SAS</t>
  </si>
  <si>
    <t>IQTR1685197722</t>
  </si>
  <si>
    <t>New Relic, Inc.</t>
  </si>
  <si>
    <t>TPG Capital, L.P.; Francisco Partners Management, L.P.</t>
  </si>
  <si>
    <t>The Vanguard Group, Inc.; Eminence Capital, LP; JANA Partners LLC; HMI Capital Management, L.P.</t>
  </si>
  <si>
    <t>IQTR1849534437</t>
  </si>
  <si>
    <t>Acquisition of Majority Stake; Cash Merger; Go Shop Provision; Going Private Transaction; Leveraged Buy Out (LBO); Management Participated</t>
  </si>
  <si>
    <t>Alteryx, Inc.</t>
  </si>
  <si>
    <t>Insight Venture Management, LLC; Clearlake Capital Group, L.P.</t>
  </si>
  <si>
    <t>IQTR1865270098</t>
  </si>
  <si>
    <t>Glovoapp23, S.L.</t>
  </si>
  <si>
    <t>Delivery Hero SE (XTRA:DHER)</t>
  </si>
  <si>
    <t>IQTR1763140911</t>
  </si>
  <si>
    <t>Acquisition of Minority Stake; Cross-Border; Minority Shareholder Gaining Majority Control; Minority Shareholder Increasing Ownership Stake</t>
  </si>
  <si>
    <t>Perficient, Inc.</t>
  </si>
  <si>
    <t>EQT Private Capital Asia</t>
  </si>
  <si>
    <t>BlackRock, Inc. (NYSE:BLK); The Vanguard Group, Inc.; Wellington Management Group LLP</t>
  </si>
  <si>
    <t>IQTR1880250753</t>
  </si>
  <si>
    <t>Acquisition of Majority Stake; Cash Merger; Cross-Border; Going Private Transaction; Leveraged Buy Out (LBO)</t>
  </si>
  <si>
    <t>Verint Systems Inc. (NasdaqGS:VRNT)</t>
  </si>
  <si>
    <t>NasdaqGS:VRNT</t>
  </si>
  <si>
    <t>Calabrio, Inc.</t>
  </si>
  <si>
    <t>Apax Partners LLP; Neuberger Berman BD LLC; Inventures Group; Jericho Capital Corp.; Forum Ventures, LLC; L Marks Ltd.</t>
  </si>
  <si>
    <t>IQTR1958114138</t>
  </si>
  <si>
    <t>TeamSystem Holding S.p.A.</t>
  </si>
  <si>
    <t>Hellman &amp; Friedman LLC</t>
  </si>
  <si>
    <t>HgCapital LLP</t>
  </si>
  <si>
    <t>IQTR1887388288</t>
  </si>
  <si>
    <t>Keywords Studios plc</t>
  </si>
  <si>
    <t>EQT Private Capital Asia; CPP Investment Board Private Holdings (4) Inc.; Rosa Investments Pte. Ltd</t>
  </si>
  <si>
    <t>Banque Pictet &amp; Cie SA; Franklin Templeton Institutional, LLC</t>
  </si>
  <si>
    <t>IQTR1886607085</t>
  </si>
  <si>
    <t>Acquisition of Majority Stake; Cash Merger; Cross-Border; Sponsor/Strategic JV Acquisition</t>
  </si>
  <si>
    <t>Coupa Software Incorporated</t>
  </si>
  <si>
    <t>Abu Dhabi Investment Authority; Thoma Bravo, L.P.</t>
  </si>
  <si>
    <t>BlackRock, Inc. (NYSE:BLK); The Vanguard Group, Inc.; Viking Global Investors LP; T. Rowe Price Associates, Inc.</t>
  </si>
  <si>
    <t>IQTR1818367875</t>
  </si>
  <si>
    <t>The Rocket Science Group, LLC</t>
  </si>
  <si>
    <t>Intuit Inc. (NasdaqGS:INTU)</t>
  </si>
  <si>
    <t>DMK Life LLC; DMK 10 LLC; DMK 20 LLC</t>
  </si>
  <si>
    <t>IQTR1681371335</t>
  </si>
  <si>
    <t>SolarWinds Corporation</t>
  </si>
  <si>
    <t>Turn/River Management, L.P.</t>
  </si>
  <si>
    <t>Silver Lake Technology Management, L.L.C.; BlackRock, Inc. (NYSE:BLK); Thoma Bravo, L.P.</t>
  </si>
  <si>
    <t>IQTR1930453238</t>
  </si>
  <si>
    <t>Avalara, Inc.</t>
  </si>
  <si>
    <t>Vista Equity Partners Management, LLC</t>
  </si>
  <si>
    <t>Franklin Templeton Inc. (NYSE:BEN); BlackRock, Inc. (NYSE:BLK); The Vanguard Group, Inc.; Wellington Management Group LLP</t>
  </si>
  <si>
    <t>IQTR1795821068</t>
  </si>
  <si>
    <t>Digital Value S.p.A.</t>
  </si>
  <si>
    <t>OEP Capital Advisors L.P.</t>
  </si>
  <si>
    <t>DV Holding S.p.A.</t>
  </si>
  <si>
    <t>IQTR1966885655</t>
  </si>
  <si>
    <t>Acquisition of Majority Stake; Cross-Border; Leveraged Buy Out (LBO)</t>
  </si>
  <si>
    <t>IQTR1988620140</t>
  </si>
  <si>
    <t>Circle8 Group</t>
  </si>
  <si>
    <t>Circle8 Group, Inc. (NasdaqGM:CIRC)</t>
  </si>
  <si>
    <t>Axiom Partners GmbH</t>
  </si>
  <si>
    <t>IQTR1980096310</t>
  </si>
  <si>
    <t>Acquisition of Majority Stake; Cross-Border</t>
  </si>
  <si>
    <t>WinTriX DC Group</t>
  </si>
  <si>
    <t>Bain Capital Investors, LLC</t>
  </si>
  <si>
    <t>APG Asset Management NV</t>
  </si>
  <si>
    <t>IQTR1841959978</t>
  </si>
  <si>
    <t>Acquisition of Majority Stake; Cash Merger; Cross-Border; Going Private Transaction; Leveraged Buy Out (LBO); Minority Shareholder Increasing Ownership Stake; Minority Shareholder Purchasing Remaining Shares; Tender Offer; Tender Offer (Full Bid)</t>
  </si>
  <si>
    <t>LINK Mobility Group Holding ASA (OB:LINK)</t>
  </si>
  <si>
    <t>OB:LINK</t>
  </si>
  <si>
    <t>Victory Partners VIII Limited</t>
  </si>
  <si>
    <t>IQTR2000553888</t>
  </si>
  <si>
    <t>Ebix, Inc.</t>
  </si>
  <si>
    <t>EBIX Limited (BSE:531035); Vikas Lifecare Limited (NSEI:VIKASLIFE); Vitasta Software India Private Limited</t>
  </si>
  <si>
    <t>IQTR1885559196</t>
  </si>
  <si>
    <t>Acquisition of Majority Stake; Bankruptcy Sale; Cash Merger; Creation of Joint Venture; Cross-Border</t>
  </si>
  <si>
    <t>AspenTech Corporation</t>
  </si>
  <si>
    <t>IQTR1684909762</t>
  </si>
  <si>
    <t>AssetMark Financial Holdings, Inc.</t>
  </si>
  <si>
    <t>GTCR LLC</t>
  </si>
  <si>
    <t>Huatai International Investment Holdings Limited</t>
  </si>
  <si>
    <t>IQTR1879103295</t>
  </si>
  <si>
    <t>Yunex GmbH</t>
  </si>
  <si>
    <t>Mundys S.p.A.</t>
  </si>
  <si>
    <t>Siemens Mobility GmbH</t>
  </si>
  <si>
    <t>IQTR1764591672</t>
  </si>
  <si>
    <t>Acquisition of Majority Stake; Cash Merger; Corporate Divestiture; Cross-Border</t>
  </si>
  <si>
    <t>Foxway AB</t>
  </si>
  <si>
    <t>Nordic Capital</t>
  </si>
  <si>
    <t>IQTR1844194992</t>
  </si>
  <si>
    <t>Acquisition of Majority Stake; Leveraged Buy Out (LBO); Terms Not Disclosed</t>
  </si>
  <si>
    <t>Venustech Group Inc. (SZSE:002439)</t>
  </si>
  <si>
    <t>SZSE:002439</t>
  </si>
  <si>
    <t>China Mobile Capital Co Ltd</t>
  </si>
  <si>
    <t>IQTR1787619875</t>
  </si>
  <si>
    <t>Jamf Holding Corp.</t>
  </si>
  <si>
    <t>Francisco Partners Management, L.P.</t>
  </si>
  <si>
    <t>The Vanguard Group, Inc.; Vista Equity Partners Management, LLC</t>
  </si>
  <si>
    <t>IQTR1967918116</t>
  </si>
  <si>
    <t>Reliance Projects &amp; Property Management Services Limited</t>
  </si>
  <si>
    <t>Jaipur Enclave Private Ltd</t>
  </si>
  <si>
    <t>Reliance Retail Limited</t>
  </si>
  <si>
    <t>IQTR1995264367</t>
  </si>
  <si>
    <t>Acquisition of Majority Stake; Cash Merger; Corporate Divestiture</t>
  </si>
  <si>
    <t>Karbon Invest AS</t>
  </si>
  <si>
    <t>IQTR1960281017</t>
  </si>
  <si>
    <t>Abu Dhabi Investment Authority; CapitalG Management Company, LLC</t>
  </si>
  <si>
    <t>IQTR1852944845</t>
  </si>
  <si>
    <t>SUSE S.A.</t>
  </si>
  <si>
    <t>IQTR1853092713</t>
  </si>
  <si>
    <t>Acquisition of Minority Stake; Cash Merger; Majority Shareholder Increasing Ownership Stake; Majority Shareholder Purchasing Remaining Shares; Tender Offer; Tender Offer (Full Bid)</t>
  </si>
  <si>
    <t>ironSource Ltd.</t>
  </si>
  <si>
    <t>Unity Software Inc. (NYSE:U)</t>
  </si>
  <si>
    <t>Viola Ventures; App Investments S.à R.l.</t>
  </si>
  <si>
    <t>IQTR1791060882</t>
  </si>
  <si>
    <t>Acquisition of Majority Stake; Cross-Border; Stock Merger</t>
  </si>
  <si>
    <t>Bending Spoons S.p.A. (NasdaqGS:BSP)</t>
  </si>
  <si>
    <t>NasdaqGS:BSP</t>
  </si>
  <si>
    <t>Tamburi Investment Partners S.p.A. (BIT:TIP)</t>
  </si>
  <si>
    <t>IQTR1968615496</t>
  </si>
  <si>
    <t>Crayon Group Holding ASA</t>
  </si>
  <si>
    <t>SoftwareOne Holding AG (SWX:SWON)</t>
  </si>
  <si>
    <t>IQTR1913479166</t>
  </si>
  <si>
    <t>Acquisition of Majority Stake; Cross-Border; Squeeze Out / Short Form Merger; Tender Offer; Tender Offer (Full Bid)</t>
  </si>
  <si>
    <t>Darktrace Limited</t>
  </si>
  <si>
    <t>Thoma Bravo, L.P.</t>
  </si>
  <si>
    <t>Insight Venture Management, LLC; KKR &amp; Co. Inc. (NYSE:KKR); Summit Partners, L.P.; SoftBank Capital; Vitruvian Partners LLP; Balderton Capital (UK) LLP; Invoke Capital; Hoxton Ventures LLP; Ten Eleven Ventures, LLC; KKR Dark Aggregator L.P.</t>
  </si>
  <si>
    <t>IQTR1879230826</t>
  </si>
  <si>
    <t>Altair Engineering Inc.</t>
  </si>
  <si>
    <t>Siemens Product Lifecycle Management Software Inc.</t>
  </si>
  <si>
    <t>BlackRock, Inc. (NYSE:BLK); The Vanguard Group, Inc.; Matrix Capital Management Company, LP; JRS Investments LLC; Pictet Asset Management SA</t>
  </si>
  <si>
    <t>IQTR1902476016</t>
  </si>
  <si>
    <t>Datto Holding Corp.</t>
  </si>
  <si>
    <t>Kaseya Inc.</t>
  </si>
  <si>
    <t>IQTR1777910955</t>
  </si>
  <si>
    <t>Clearwater Analytics Holdings, Inc.</t>
  </si>
  <si>
    <t>Warburg Pincus LLC; Permira Advisers Ltd.; Temasek Holdings (Private) Limited</t>
  </si>
  <si>
    <t>BlackRock, Inc. (NYSE:BLK); Dragoneer Investment Group, LLC; Durable Capital Partners, LP</t>
  </si>
  <si>
    <t>IQTR1975077803</t>
  </si>
  <si>
    <t>Acquisition of Majority Stake; Cash Merger; Cross-Border; Go Shop Provision; Going Private Transaction; Leveraged Buy Out (LBO); Minority Shareholder Increasing Ownership Stake</t>
  </si>
  <si>
    <t>IQTR1838419043</t>
  </si>
  <si>
    <t>CoreSite Realty Corporation</t>
  </si>
  <si>
    <t>American Tower Investments LLC</t>
  </si>
  <si>
    <t>IQTR1758441960</t>
  </si>
  <si>
    <t>Acquisition of Majority Stake; Cash Merger; Squeeze Out / Short Form Merger; Tender Offer; Tender Offer (Full Bid)</t>
  </si>
  <si>
    <t>SimCorp A/S</t>
  </si>
  <si>
    <t>Deutsche Börse AG (XTRA:DB1)</t>
  </si>
  <si>
    <t>UBS Group AG (SWX:UBSG); Mawer Investment Management Ltd.; BLS Capital Fondsmaeglerselskab A/S</t>
  </si>
  <si>
    <t>IQTR1835251458</t>
  </si>
  <si>
    <t>Acquisition of Majority Stake; Cash Merger; Cross-Border; Squeeze Out / Short Form Merger; Tender Offer; Tender Offer (Full Bid)</t>
  </si>
  <si>
    <t>Anaplan, Inc.</t>
  </si>
  <si>
    <t>Threshold Ventures Management Company, LLC; Meritech Sub-Management Corporation; Granite Ventures, LLC; The Vanguard Group, Inc.; Top Tier Capital Partners, LLC; Premji Invest; Harmony Partners, LLC; Sachem Head Capital Management LP; Founders Circle Capital, LLC; JS Capital Management, LLC; FMR LLC</t>
  </si>
  <si>
    <t>IQTR1775124916</t>
  </si>
  <si>
    <t>Acquisition of Majority Stake; Cash Merger; Going Private Transaction; Leveraged Buy Out (LBO); Platform</t>
  </si>
  <si>
    <t>Cvent Holding Corp.</t>
  </si>
  <si>
    <t>Blackstone Inc. (NYSE:BX); Abu Dhabi Investment Authority</t>
  </si>
  <si>
    <t>Vista Equity Partners Management, LLC; Hedosophia Group Limited</t>
  </si>
  <si>
    <t>IQTR1829483129</t>
  </si>
  <si>
    <t>Switch, Inc.</t>
  </si>
  <si>
    <t>IFM Investors Pty Ltd; DigitalBridge Group, Inc. (NYSE:DBRG)</t>
  </si>
  <si>
    <t>The Vanguard Group, Inc.; RBC Rochdale, LLC</t>
  </si>
  <si>
    <t>IQTR1782462626</t>
  </si>
  <si>
    <t>Kape Technologies PLC</t>
  </si>
  <si>
    <t>IQTR1825736031</t>
  </si>
  <si>
    <t>Acquisition of Minority Stake; Cash Merger; Individual Investors Participated; Majority Shareholder Increasing Ownership Stake; Majority Shareholder Purchasing Remaining Shares; Squeeze Out / Short Form Merger; Tender Offer; Tender Offer (Full Bid)</t>
  </si>
  <si>
    <t>Kanematsu Electronics Ltd.</t>
  </si>
  <si>
    <t>Kanematsu Corporation (TSE:8020)</t>
  </si>
  <si>
    <t>IQTR1823783376</t>
  </si>
  <si>
    <t>IQTR1878443499</t>
  </si>
  <si>
    <t>Tata Technologies Limited (NSEI:TATATECH)</t>
  </si>
  <si>
    <t>NSEI:TATATECH</t>
  </si>
  <si>
    <t>TPG Rise Climate SF Pte. Ltd.; Ratan Tata Endowment Foundation</t>
  </si>
  <si>
    <t>Tata Motors Passenger Vehicles Limited (BSE:500570)</t>
  </si>
  <si>
    <t>IQTR1859180077</t>
  </si>
  <si>
    <t>E2open Parent Holdings, Inc.</t>
  </si>
  <si>
    <t>WiseTech Global Limited (ASX:WTC)</t>
  </si>
  <si>
    <t>Insight Venture Management, LLC; EMCCA Corporation; CC Capital Partners, LLC; XN Capital</t>
  </si>
  <si>
    <t>IQTR1944959212</t>
  </si>
  <si>
    <t>OneStream, Inc.</t>
  </si>
  <si>
    <t>General Atlantic Service Company, L.P.; HgCapital LLP; Tidemark Capital, Inc.</t>
  </si>
  <si>
    <t>KKR &amp; Co. Inc. (NYSE:KKR); Investment Group of Santa Barbara; Tidemark Capital, Inc.</t>
  </si>
  <si>
    <t>IQTR1977157497</t>
  </si>
  <si>
    <t>Acquisition of Majority Stake; Cash Merger; Cross-Border; Equity Reinvestment; Going Private Transaction; Leveraged Buy Out (LBO)</t>
  </si>
  <si>
    <t>Instructure Holdings, Inc.</t>
  </si>
  <si>
    <t>KKR &amp; Co. Inc. (NYSE:KKR); Dragoneer Investment Group, LLC</t>
  </si>
  <si>
    <t>IQTR1888857335</t>
  </si>
  <si>
    <t>Acquisition of Majority Stake; Cash Merger; Going Private Transaction; Leveraged Buy Out (LBO); Secondary LBO</t>
  </si>
  <si>
    <t>HashiCorp, Inc.</t>
  </si>
  <si>
    <t>Deer Management Co. LLC; Institutional Venture Partners; Mayfield Fund, L.L.C.; Redpoint Management, LLC; The Vanguard Group, Inc.; Granite Asia; Geodesic Capital</t>
  </si>
  <si>
    <t>IQTR1879049671</t>
  </si>
  <si>
    <t>Cloud-based digital banking business of NCR Voyix Corporation</t>
  </si>
  <si>
    <t>Veritas Capital Fund Management, L.L.C</t>
  </si>
  <si>
    <t>NCR Voyix Corporation (NYSE:VYX)</t>
  </si>
  <si>
    <t>IQTR1890532746</t>
  </si>
  <si>
    <t>Acquisition of Majority Stake; Cash Merger; Corporate Divestiture; Leveraged Buy Out (LBO)</t>
  </si>
  <si>
    <t>Mail and parcel business of Siemens Postal, Parcel &amp; Airport Logistics GmbH</t>
  </si>
  <si>
    <t>Körber AG</t>
  </si>
  <si>
    <t>Siemens Logistics GmbH</t>
  </si>
  <si>
    <t>IQTR1770446854</t>
  </si>
  <si>
    <t>Shenzhen Farben Information Technology Co.,Ltd. (SZSE:300925)</t>
  </si>
  <si>
    <t>SZSE:300925</t>
  </si>
  <si>
    <t>Jinan Huiying Investment Partnership (Limited Partnership)</t>
  </si>
  <si>
    <t>IQTR1887374017</t>
  </si>
  <si>
    <t>Itcencts Co.,Ltd. (KOSE:A031820)</t>
  </si>
  <si>
    <t>KOSE:A031820</t>
  </si>
  <si>
    <t>Itcenentec Co.,Ltd. (KOSDAQ:A010280)</t>
  </si>
  <si>
    <t>IQTR1823370229</t>
  </si>
  <si>
    <t>Mimecast Services Limited</t>
  </si>
  <si>
    <t>IQTR1760998874</t>
  </si>
  <si>
    <t>Acquisition of Majority Stake; Cash Merger; Go Shop Provision; Going Private Transaction; Leveraged Buy Out (LBO)</t>
  </si>
  <si>
    <t>Magic Software Enterprises Ltd.</t>
  </si>
  <si>
    <t>Matrix IT Ltd. (TASE:MTRX)</t>
  </si>
  <si>
    <t>Formula Systems (1985) Ltd. (TASE:FORTY)</t>
  </si>
  <si>
    <t>IQTR1934842365</t>
  </si>
  <si>
    <t>Sapiens International Corporation N.V.</t>
  </si>
  <si>
    <t>Advent International, L.P.</t>
  </si>
  <si>
    <t>IQTR1956594929</t>
  </si>
  <si>
    <t>Acquisition of Majority Stake; Cross-Border; Going Private Transaction; Leveraged Buy Out (LBO)</t>
  </si>
  <si>
    <t>Encora Digital LLC</t>
  </si>
  <si>
    <t>Coforge Limited (NSEI:COFORGE)</t>
  </si>
  <si>
    <t>Advent International, L.P.; Warburg Pincus LLC</t>
  </si>
  <si>
    <t>IQTR1975554631</t>
  </si>
  <si>
    <t>Adenza Inc.</t>
  </si>
  <si>
    <t>Nasdaq, Inc. (NasdaqGS:NDAQ)</t>
  </si>
  <si>
    <t>IQTR1842749511</t>
  </si>
  <si>
    <t>Imperva, Inc.</t>
  </si>
  <si>
    <t>Thales S.A. (ENXTPA:HO)</t>
  </si>
  <si>
    <t>IQTR1848924578</t>
  </si>
  <si>
    <t>Sprinklr, Inc. (NYSE:CXM)</t>
  </si>
  <si>
    <t>NYSE:CXM</t>
  </si>
  <si>
    <t>IQTR1832762270</t>
  </si>
  <si>
    <t>IQTR1825523619</t>
  </si>
  <si>
    <t>Terms Not Disclosed</t>
  </si>
  <si>
    <t>Mandiant, Inc.</t>
  </si>
  <si>
    <t>Google LLC</t>
  </si>
  <si>
    <t>BlackRock, Inc. (NYSE:BLK); The Vanguard Group, Inc.; Blackstone Inc. (NYSE:BX); Shapiro Capital Management LLC; Allianz Global Investors U.S. LLC; Blackstone Tactical Opportunities Advisors L.L.C.; Blackstone Group Management L.L.C; FMR LLC; ClearSky Advisors LLC</t>
  </si>
  <si>
    <t>IQTR1773786962</t>
  </si>
  <si>
    <t>Ordina N.V.</t>
  </si>
  <si>
    <t>Sopra Steria Group SA (ENXTPA:SOP)</t>
  </si>
  <si>
    <t>Teslin Capital Management BV; Teslin Participaties Coöperatief U.A.; Mont Cervin S.à r.l.</t>
  </si>
  <si>
    <t>IQTR1830473671</t>
  </si>
  <si>
    <t>Route Mobile Limited (NSEI:ROUTE)</t>
  </si>
  <si>
    <t>NSEI:ROUTE</t>
  </si>
  <si>
    <t>Proximus Global SA</t>
  </si>
  <si>
    <t>IQTR1848494184</t>
  </si>
  <si>
    <t>Bottomline Technologies, Inc.</t>
  </si>
  <si>
    <t>Clearfield Capital Management LP</t>
  </si>
  <si>
    <t>IQTR1761806224</t>
  </si>
  <si>
    <t>Momentive Global Inc.</t>
  </si>
  <si>
    <t>Symphony Technology Group, LLC</t>
  </si>
  <si>
    <t>BlackRock, Inc. (NYSE:BLK); The Vanguard Group, Inc.; Magnetar Financial LLC; ArrowMark Colorado Holdings, LLC; Sheryl K. Sandberg Revocable Trust; SM Profits, LLC</t>
  </si>
  <si>
    <t>IQTR1829378640</t>
  </si>
  <si>
    <t>Acquisition of Majority Stake; Cash Merger; Going Private Transaction</t>
  </si>
  <si>
    <t>SeeWay.ai Co., Ltd. (SZSE:002405)</t>
  </si>
  <si>
    <t>SZSE:002405</t>
  </si>
  <si>
    <t>Beijing Yitang Xincheng Technology Partnership Enterprise (Limited Partnership)</t>
  </si>
  <si>
    <t>China Siwei Surveying and Mapping Technology Co., Ltd.</t>
  </si>
  <si>
    <t>IQTR1852619416</t>
  </si>
  <si>
    <t>SEPTEO SA</t>
  </si>
  <si>
    <t>Bpifrance Investissement SAS</t>
  </si>
  <si>
    <t>IQTR1940842820</t>
  </si>
  <si>
    <t>Acquisition of Minority Stake; Cash Merger; Leveraged Buy Out (LBO)</t>
  </si>
  <si>
    <t>Comarch SA</t>
  </si>
  <si>
    <t>Chamonix Investments Poland Sp Z O O</t>
  </si>
  <si>
    <t>IQTR1888222571</t>
  </si>
  <si>
    <t>Acquisition of Majority Stake; Squeeze Out / Short Form Merger; Tender Offer; Tender Offer (Partial Bid)</t>
  </si>
  <si>
    <t>IQTR1848560033</t>
  </si>
  <si>
    <t>SailPoint Technologies Holdings, Inc.</t>
  </si>
  <si>
    <t>BlackRock, Inc. (NYSE:BLK); The Vanguard Group, Inc.; HMI Capital Management, L.P.; SoMa Equity Partners, LP</t>
  </si>
  <si>
    <t>IQTR1777896053</t>
  </si>
  <si>
    <t>Everbridge, Inc.</t>
  </si>
  <si>
    <t>IQTR1870913016</t>
  </si>
  <si>
    <t>Presight AI Holding PLC (ADX:PRESIGHT)</t>
  </si>
  <si>
    <t>ADX:PRESIGHT</t>
  </si>
  <si>
    <t>International Holding Company PJSC (ADX:IHC)</t>
  </si>
  <si>
    <t>IQTR1861478349</t>
  </si>
  <si>
    <t>Zuora, Inc.</t>
  </si>
  <si>
    <t>Silver Lake Technology Management, L.L.C.; GIC Special Investments Pte. Ltd.</t>
  </si>
  <si>
    <t>IQTR1900999264</t>
  </si>
  <si>
    <t>Acquisition of Majority Stake; Cash Merger; Cross-Border; Equity Reinvestment; Going Private Transaction; Leveraged Buy Out (LBO); Management Participated</t>
  </si>
  <si>
    <t>Meltwater N.V.</t>
  </si>
  <si>
    <t>Altor Equity Partners AB; Marlin Equity Partners, LLC</t>
  </si>
  <si>
    <t>Skandinaviska Enskilda Banken AB (publ) (OM:SEB A); Folketrygdfondet; Citibank Nigeria Limited; Fountain Venture B.V.; Arneson Haugen Holding As; Sparkling Rocks S.R.L.; Fountain Venture One S.A SPF; Bipro As; Fountain Venture As; Big Data Holding Limited</t>
  </si>
  <si>
    <t>IQTR1822791156</t>
  </si>
  <si>
    <t>Acquisition of Majority Stake; Cross-Border; Going Private Transaction; Leveraged Buy Out (LBO); Tender Offer; Tender Offer (Full Bid)</t>
  </si>
  <si>
    <t>SB Technology Corp.</t>
  </si>
  <si>
    <t>SBI Securities Co., Ltd.; Caceis Bank; JP Morgan Chase Bank 385781; Custody Bank of Japan, Ltd. (Trust Account); The Master Trust Bank of Japan, Ltd. (Trust Account); BNYMSANV AS Agent/Clients Lux Ucits Non Treaty 1</t>
  </si>
  <si>
    <t>IQTR1879211630</t>
  </si>
  <si>
    <t>Acquisition of Minority Stake; Tender Offer; Tender Offer (Full Bid)</t>
  </si>
  <si>
    <t>iOCO Limited (JSE:IOC)</t>
  </si>
  <si>
    <t>JSE:IOC</t>
  </si>
  <si>
    <t>Peresec Prime Brokers (Pty) Ltd</t>
  </si>
  <si>
    <t>IQTR1762890975</t>
  </si>
  <si>
    <t>Semrush Holdings, Inc.</t>
  </si>
  <si>
    <t>Adobe Inc. (NasdaqGS:ADBE)</t>
  </si>
  <si>
    <t>Siguler Guff &amp; Company, LP; Greycroft LP</t>
  </si>
  <si>
    <t>IQTR1971015710</t>
  </si>
  <si>
    <t>SRT Group</t>
  </si>
  <si>
    <t>Mutares SE &amp; Co. KGaA (XTRA:MUX)</t>
  </si>
  <si>
    <t>GeoPost SA</t>
  </si>
  <si>
    <t>IQTR1856022457</t>
  </si>
  <si>
    <t>Acquisition of Majority Stake; Cash Merger; Corporate Divestiture; Cross-Border; Leveraged Buy Out (LBO); Platform; Terms Not Disclosed</t>
  </si>
  <si>
    <t>Iress Limited (ASX:IRE)</t>
  </si>
  <si>
    <t>ASX:IRE</t>
  </si>
  <si>
    <t>Mirrabooka Investments Limited (ASX:MIR)</t>
  </si>
  <si>
    <t>IQTR1822204191</t>
  </si>
  <si>
    <t>Targus Cayman HoldCo Ltd</t>
  </si>
  <si>
    <t>B. Riley Principal Investments, LLC</t>
  </si>
  <si>
    <t>IQTR1805392470</t>
  </si>
  <si>
    <t>ITRenew, Inc.</t>
  </si>
  <si>
    <t>Iron Mountain Incorporated (NYSE:IRM)</t>
  </si>
  <si>
    <t>ZelnickMedia Corporation</t>
  </si>
  <si>
    <t>IQTR1761161146</t>
  </si>
  <si>
    <t>Arctera U.S. Holdings LLC</t>
  </si>
  <si>
    <t>IQTR1955742845</t>
  </si>
  <si>
    <t>Wind River Systems, Inc.</t>
  </si>
  <si>
    <t>Aptiv PLC (NYSE:APTV)</t>
  </si>
  <si>
    <t>TPG Capital, L.P.</t>
  </si>
  <si>
    <t>IQTR1763951298</t>
  </si>
  <si>
    <t>Keyrus S.A. (ENXTPA:ALKEY)</t>
  </si>
  <si>
    <t>ENXTPA:ALKEY</t>
  </si>
  <si>
    <t>IQTR1859000169</t>
  </si>
  <si>
    <t>Acquisition of Minority Stake; Majority Shareholder Increasing Ownership Stake; Squeeze Out / Short Form Merger; Tender Offer; Tender Offer (Partial Bid)</t>
  </si>
  <si>
    <t>TIMETOACT GROUP GmbH</t>
  </si>
  <si>
    <t>H.I.G. Capital, LLC</t>
  </si>
  <si>
    <t>Equistone Partners Europe Limited</t>
  </si>
  <si>
    <t>IQTR1933762858</t>
  </si>
  <si>
    <t>Acquisition of Minority Stake; Cross-Border; Equity Reinvestment; Terms Not Disclosed</t>
  </si>
  <si>
    <t>Activities of Sopra Banking Software SA</t>
  </si>
  <si>
    <t>74Software (ENXTPA:74SW)</t>
  </si>
  <si>
    <t>Sopra Banking Software SA</t>
  </si>
  <si>
    <t>IQTR1883429319</t>
  </si>
  <si>
    <t>Acquisition of Majority Stake; Corporate Divestiture; Cross-Border</t>
  </si>
  <si>
    <t>EngageSmart, Inc.</t>
  </si>
  <si>
    <t>General Atlantic Service Company, L.P.; Summit Partners, L.P.</t>
  </si>
  <si>
    <t>IQTR1859772122</t>
  </si>
  <si>
    <t>Acquisition of Majority Stake; Go Shop Provision; Going Private Transaction; Leveraged Buy Out (LBO)</t>
  </si>
  <si>
    <t>Rimini Street, Inc. (NasdaqGM:RMNI)</t>
  </si>
  <si>
    <t>NasdaqGM:RMNI</t>
  </si>
  <si>
    <t>Spice Private Equity AG</t>
  </si>
  <si>
    <t>IQTR1684859171</t>
  </si>
  <si>
    <t>Public Investment Corporation Limited</t>
  </si>
  <si>
    <t>IQTR1832459697</t>
  </si>
  <si>
    <t>Lebashe Networks Proprietary Limited</t>
  </si>
  <si>
    <t>IQTR1828590666</t>
  </si>
  <si>
    <t>Tucows Inc. (NasdaqCM:TCX)</t>
  </si>
  <si>
    <t>NasdaqCM:TCX</t>
  </si>
  <si>
    <t>Investmentaktiengesellschaft für langfristige Investoren TGV</t>
  </si>
  <si>
    <t>IQTR1914455853</t>
  </si>
  <si>
    <t>LAC Co., Ltd.</t>
  </si>
  <si>
    <t>KDDI Corporation (TSE:9433)</t>
  </si>
  <si>
    <t>IQTR1903352950</t>
  </si>
  <si>
    <t>Acquisition of Majority Stake; Minority Shareholder Gaining Majority Control; Minority Shareholder Increasing Ownership Stake; Tender Offer; Tender Offer (Full Bid)</t>
  </si>
  <si>
    <t>Myonlinestore</t>
  </si>
  <si>
    <t>IQTR1839126847</t>
  </si>
  <si>
    <t>Acquisition of Majority Stake; Cross-Border; Terms Not Disclosed</t>
  </si>
  <si>
    <t>SecureWorks Corp.</t>
  </si>
  <si>
    <t>Sophos, Inc.</t>
  </si>
  <si>
    <t>Dell Technologies Inc. (NYSE:DELL); The Vanguard Group, Inc.; Royce &amp; Associates, LP; First Eagle Investment Management, LLC; Dell Marketing L.P.; Centerview Capital Technology Management, L.P.</t>
  </si>
  <si>
    <t>IQTR1901315039</t>
  </si>
  <si>
    <t>ECIT AS</t>
  </si>
  <si>
    <t>TowerBrook Capital Partners (U.K.) LLP</t>
  </si>
  <si>
    <t>Plenborg Holding ApS; Y-Not Aps; Mikkel Walde Holding ApS; Varner Kapital AS; Cgl Holding AS; Fasting &amp; Comrades AS; CGL Holding II AS; IC Services 2 AS</t>
  </si>
  <si>
    <t>IQTR1889524439</t>
  </si>
  <si>
    <t>Acquisition of Majority Stake; Cross-Border; Going Private Transaction; Squeeze Out / Short Form Merger; Tender Offer; Tender Offer (Full Bid)</t>
  </si>
  <si>
    <t>PROS Holdings, Inc.</t>
  </si>
  <si>
    <t>BlackRock, Inc. (NYSE:BLK); The Vanguard Group, Inc.; RGM Capital, LLC; Alyeska Investment Group, L.P.; EVR Research LP</t>
  </si>
  <si>
    <t>IQTR1961487034</t>
  </si>
  <si>
    <t>Kaleyra, Inc.</t>
  </si>
  <si>
    <t>Tata Communications Limited (NSEI:TATACOMM)</t>
  </si>
  <si>
    <t>Lynrock Lake LP; Effe Pi - Societa' Semplice; Esse Effe S.p.A.</t>
  </si>
  <si>
    <t>IQTR1846378332</t>
  </si>
  <si>
    <t>PC Specialists, Inc.</t>
  </si>
  <si>
    <t>IQTR1783908446</t>
  </si>
  <si>
    <t>PSI Software SE (XTRA:PSAN)</t>
  </si>
  <si>
    <t>XTRA:PSAN</t>
  </si>
  <si>
    <t>Warburg Pincus LLC</t>
  </si>
  <si>
    <t>IQTR1965860084</t>
  </si>
  <si>
    <t>Acquisition of Majority Stake; Cross-Border; Equity Reinvestment; Leveraged Buy Out (LBO); Tender Offer; Tender Offer (Partial Bid)</t>
  </si>
  <si>
    <t>Mianzo Investment Management</t>
  </si>
  <si>
    <t>IQTR1823137951</t>
  </si>
  <si>
    <t>P&amp;I Personal &amp; Informatik AG</t>
  </si>
  <si>
    <t>HgCapital LLP; HgCapital Trust plc (LSE:HGT)</t>
  </si>
  <si>
    <t>IQTR1937296208</t>
  </si>
  <si>
    <t>Acquisition of Minority Stake; Cross-Border; Majority Shareholder Increasing Ownership Stake</t>
  </si>
  <si>
    <t>Design &amp; Engineering business of Hexagon Smart</t>
  </si>
  <si>
    <t>Cadence Design Systems, Inc. (NasdaqGS:CDNS)</t>
  </si>
  <si>
    <t>Hexagon Smart Solutions AB</t>
  </si>
  <si>
    <t>IQTR1959573843</t>
  </si>
  <si>
    <t>MeridianLink, Inc.</t>
  </si>
  <si>
    <t>Centerbridge Partners, L.P.</t>
  </si>
  <si>
    <t>IQTR1956378793</t>
  </si>
  <si>
    <t>Dream World Investments (Pty) Ltd</t>
  </si>
  <si>
    <t>IQTR1885367300</t>
  </si>
  <si>
    <t>EdgeCast, Inc.</t>
  </si>
  <si>
    <t>Edgio, Inc.</t>
  </si>
  <si>
    <t>Yahoo Inc.</t>
  </si>
  <si>
    <t>IQTR1773629461</t>
  </si>
  <si>
    <t>Acquisition of Majority Stake; Corporate Divestiture; Earnout Payments; Stock Merger</t>
  </si>
  <si>
    <t>Engineering Solutions Business of IHS Markit</t>
  </si>
  <si>
    <t>IHS Markit Ltd.</t>
  </si>
  <si>
    <t>IQTR1822119728</t>
  </si>
  <si>
    <t>Acquisition of Majority Stake; Cash Merger; Corporate Divestiture; Cross-Border; Leveraged Buy Out (LBO)</t>
  </si>
  <si>
    <t>Q_PERIOR AG</t>
  </si>
  <si>
    <t>Wavestone SA (ENXTPA:WAVE)</t>
  </si>
  <si>
    <t>IQTR1849045473</t>
  </si>
  <si>
    <t>Acquisition of Majority Stake; Cross-Border; Earnout Payments</t>
  </si>
  <si>
    <t>FD Technologies plc</t>
  </si>
  <si>
    <t>Irenic Capital Management LP</t>
  </si>
  <si>
    <t>IQTR1889189628</t>
  </si>
  <si>
    <t>Olo Inc.</t>
  </si>
  <si>
    <t>Battery Ventures L.P.; BlackRock, Inc. (NYSE:BLK); The Vanguard Group, Inc.; Raine Ventures LLC; Brown Capital Management; FMR LLC; Raqtinda Investments LLC</t>
  </si>
  <si>
    <t>IQTR1951773646</t>
  </si>
  <si>
    <t>Daugherty Systems, Inc.</t>
  </si>
  <si>
    <t>CGI Inc. (TSX:GIB.A)</t>
  </si>
  <si>
    <t>IQTR1912483360</t>
  </si>
  <si>
    <t>Duck Creek Technologies LLC</t>
  </si>
  <si>
    <t>Insight Venture Management, LLC; Temasek Holdings (Private) Limited; Virtus Investment Partners, Inc. (NYSE:VRTS); The Vanguard Group, Inc.; Kayne Anderson Rudnick Investment Management, LLC; Accenture plc (NYSE:ACN); Virtus Investment Advisers, LLC; Echo Street Capital Management, LLC; Accenture LLP; Accenture Holdings B.V.; Virtus Equity Trust - Virtus KAR Small-Cap Growth Fund (MutualFund:PXSG.X); Dragoneer Investment Group, LLC; Disco (Guernsey) GP Co. Limited</t>
  </si>
  <si>
    <t>IQTR1821236740</t>
  </si>
  <si>
    <t>Ping Identity Holding Corp.</t>
  </si>
  <si>
    <t>Vista Equity Partners Management, LLC; Senvest Management, LLC</t>
  </si>
  <si>
    <t>IQTR1794254515</t>
  </si>
  <si>
    <t>OneConnect Financial Technology Co., Ltd.</t>
  </si>
  <si>
    <t>Ping An Insurance (Group) Company of China, Ltd. (SHSE:601318)</t>
  </si>
  <si>
    <t>M&amp;G Investment Management Limited; Sen Rong Limited; Rong Chang Limited; Lanbang Investment Company Limited; Svf Fax Subco (Singapore) Pte. Ltd.; Bo Yu Limited</t>
  </si>
  <si>
    <t>IQTR1935556432</t>
  </si>
  <si>
    <t>Acquisition of Majority Stake; Cash Merger; Going Private Transaction; Minority Shareholder Gaining Majority Control; Minority Shareholder Increasing Ownership Stake</t>
  </si>
  <si>
    <t>IQTR1967641871</t>
  </si>
  <si>
    <t>Douzone Bizon Co., Ltd.</t>
  </si>
  <si>
    <t>Shinhan Douzone Wehago 2nd Co., Ltd.; Shinhan Douzone Wehago 1st Co., Ltd; Shinhan Value Up The First, Co. Ltd.</t>
  </si>
  <si>
    <t>IQTR1969539143</t>
  </si>
  <si>
    <t>Computer Task Group, Incorporated</t>
  </si>
  <si>
    <t>Cegeka Groep NV</t>
  </si>
  <si>
    <t>Royce &amp; Associates, LP</t>
  </si>
  <si>
    <t>IQTR1852307327</t>
  </si>
  <si>
    <t>Agroptima, S.L.</t>
  </si>
  <si>
    <t>ISAGRI S.L.</t>
  </si>
  <si>
    <t>GlobaLleida Inversions, S.A.</t>
  </si>
  <si>
    <t>IQTR1819752562</t>
  </si>
  <si>
    <t>Sumo Logic, Inc.</t>
  </si>
  <si>
    <t>Accel Management Co, Inc.; Battery Ventures L.P.; Institutional Venture Partners; Sequoia Capital Operations LLC; Sutter Hill Ventures; Sapphire Ventures, LP; BlackRock, Inc. (NYSE:BLK); The Vanguard Group, Inc.; DFJ Growth Management, LLC</t>
  </si>
  <si>
    <t>IQTR1825202480</t>
  </si>
  <si>
    <t>New Trend International Logis-Tech Co.,Ltd. (SZSE:300532)</t>
  </si>
  <si>
    <t>SZSE:300532</t>
  </si>
  <si>
    <t>Guotai Haitong Securities Co., Ltd. (SHSE:601211); GF Securities Co., Ltd. (SZSE:000776); First Capital Securities Co., Ltd. (SZSE:002797); Nuode Asset Management Co., Ltd.; Caitong Fund Management Co., Ltd.; Yingshui Investment Co., Ltd.; Shenzhen Commando Capital Management Co., Ltd.; Shanghai Jinde Private Fund Management Co., Ltd.; Jinxiu Zhonghe (Tianjin) Investment Management Co., Ltd.; Nanjing Century Hengyuan Investment Co., Ltd.; Finsights Fund Management Co., Ltd.; Beijing Nuanyixin Private Fund Management Co., Ltd.; Shanghai Danyin Investment Management Center (Limited Partnership); Ningbo Meishan Bonded Port Area Lingding Investment Management Co., Ltd.; Huaan Securities Asset Management Co., Ltd.; Shanghai Luoyan Private Equity Fund Management Co., Ltd.</t>
  </si>
  <si>
    <t>IQTR1958740078</t>
  </si>
  <si>
    <t>NXO France SAS</t>
  </si>
  <si>
    <t>FAYAT SAS</t>
  </si>
  <si>
    <t>Butler Industries</t>
  </si>
  <si>
    <t>IQTR1683175217</t>
  </si>
  <si>
    <t>CS Communication &amp; Systemes SA</t>
  </si>
  <si>
    <t>IQTR1832770676</t>
  </si>
  <si>
    <t>KnowBe4, Inc.</t>
  </si>
  <si>
    <t>KKR &amp; Co. Inc. (NYSE:KKR); Invesco Ltd. (NYSE:IVZ); The Vanguard Group, Inc.; Voya Financial, Inc. (NYSE:VOYA); Goldman Sachs Asset Management, L.P.; Ten Eleven Ventures, LLC; Elephant Partners; FMR LLC; KKR Knowledge Investors L.P.; Sjouwerman Enterprises Limited Partnership; Kevin Mitnick Family Trust</t>
  </si>
  <si>
    <t>IQTR1801007155</t>
  </si>
  <si>
    <t>Acquisition of Majority Stake; Going Private Transaction; Leveraged Buy Out (LBO); Minority Shareholder Gaining Majority Control; Minority Shareholder Increasing Ownership Stake</t>
  </si>
  <si>
    <t>SNP Schneider-Neureither &amp; Partner SE (XTRA:SHF)</t>
  </si>
  <si>
    <t>XTRA:SHF</t>
  </si>
  <si>
    <t>Carlyle Beratungs GmbH</t>
  </si>
  <si>
    <t>IQTR1913989358</t>
  </si>
  <si>
    <t>Acquisition of Majority Stake; Tender Offer; Tender Offer (Partial Bid)</t>
  </si>
  <si>
    <t>Altium LLC</t>
  </si>
  <si>
    <t>Renesas Electronics Corporation (TSE:6723)</t>
  </si>
  <si>
    <t>J.P. Morgan Nominees Australia Limited; National Nominees Limited; Hsbc Custody Nominees (Australia) Limited; Citicorp Nominees Pty. Ltd.</t>
  </si>
  <si>
    <t>IQTR1871775426</t>
  </si>
  <si>
    <t>Umanis SA</t>
  </si>
  <si>
    <t>CGI France SAS</t>
  </si>
  <si>
    <t>Mura</t>
  </si>
  <si>
    <t>IQTR1774545649</t>
  </si>
  <si>
    <t>IQTR1792869527</t>
  </si>
  <si>
    <t>Acquisition of Minority Stake; Squeeze Out / Short Form Merger; Tender Offer; Tender Offer (Partial Bid)</t>
  </si>
  <si>
    <t>Express VPN International Ltd.</t>
  </si>
  <si>
    <t>Access Global Limited</t>
  </si>
  <si>
    <t>IQTR1681351178</t>
  </si>
  <si>
    <t>Ayesa Ibermática, S.A.U.</t>
  </si>
  <si>
    <t>Ayesa Engineering SA</t>
  </si>
  <si>
    <t>Organizacion Nacional De Ciegos Espanoles; Proa Capital De Inversiones S G E I C; Kutxabank, S.A.</t>
  </si>
  <si>
    <t>IQTR1797996299</t>
  </si>
  <si>
    <t>Thirdware Solutions Limited</t>
  </si>
  <si>
    <t>Tech Mahindra Limited (NSEI:TECHM)</t>
  </si>
  <si>
    <t>IQTR1774247816</t>
  </si>
  <si>
    <t>Acquisition of Majority Stake; Cash Merger; Earnout Payments</t>
  </si>
  <si>
    <t>Flywheel Digital LLC</t>
  </si>
  <si>
    <t>Omnicom Group Inc. (NYSE:OMC)</t>
  </si>
  <si>
    <t>Informa Events Financing Limited</t>
  </si>
  <si>
    <t>IQTR1860339971</t>
  </si>
  <si>
    <t>I-Net Corp.</t>
  </si>
  <si>
    <t>OFI·01 Corporation</t>
  </si>
  <si>
    <t>The Bank of Yokohama, Ltd.; Systena Corporation (TSE:2317); Inet Foundation (Uk); Custody Bank of Japan, Ltd. (Trust Account); Japan Master Trust Bank, Ltd.</t>
  </si>
  <si>
    <t>IQTR1962910014</t>
  </si>
  <si>
    <t>Tansun Technology Co., Ltd. (SZSE:300872)</t>
  </si>
  <si>
    <t>SZSE:300872</t>
  </si>
  <si>
    <t>Zhongtai Securities (Shanghai) Asset Management Co.,Ltd.</t>
  </si>
  <si>
    <t>Lianyungang Haohong Intelligent Industry Venture Capital Partnership (Limited Partnership)</t>
  </si>
  <si>
    <t>IQTR1873130430</t>
  </si>
  <si>
    <t>Shinhan Value Up The First, Co. Ltd.</t>
  </si>
  <si>
    <t>Bain Capital Credit, LP</t>
  </si>
  <si>
    <t>IQTR1887782085</t>
  </si>
  <si>
    <t>WalkMe Ltd.</t>
  </si>
  <si>
    <t>SAP SE (XTRA:SAP)</t>
  </si>
  <si>
    <t>IQTR1883893036</t>
  </si>
  <si>
    <t>SQLI SA</t>
  </si>
  <si>
    <t>Synsion Group</t>
  </si>
  <si>
    <t>IQTR1825284599</t>
  </si>
  <si>
    <t>Wiscom System Co., Ltd. (SZSE:002090)</t>
  </si>
  <si>
    <t>SZSE:002090</t>
  </si>
  <si>
    <t>Beijing Xinhuo Enterprise Management Center (Limited Partnership)</t>
  </si>
  <si>
    <t>Jiangsu Jinzhi Group Co., Ltd.</t>
  </si>
  <si>
    <t>IQTR1778700883</t>
  </si>
  <si>
    <t>Hubexo</t>
  </si>
  <si>
    <t>TA Associates Management, L.P.; Stirling Square Capital Partners LLP; MPRC Europe Limited; TA Associates (UK), LLP; Bock Capital EU Luxembourg Tricycle S.à r.l.; Sscp Byggest Sarl</t>
  </si>
  <si>
    <t>IQTR1871178584</t>
  </si>
  <si>
    <t>Acquisition of Minority Stake; Cash Merger; Cross-Border; Minority Shareholder Increasing Ownership Stake; Squeeze Out / Short Form Merger; Tender Offer; Tender Offer (Full Bid)</t>
  </si>
  <si>
    <t>Duna &amp; Cie S.A.</t>
  </si>
  <si>
    <t>IQTR1819614797</t>
  </si>
  <si>
    <t>DBAY Advisors Limited</t>
  </si>
  <si>
    <t>IQTR1682812742</t>
  </si>
  <si>
    <t>Acquisition of Minority Stake; Cross-Border; Going Private Transaction; Minority Shareholder Gaining Majority Control; Minority Shareholder Increasing Ownership Stake; Tender Offer; Tender Offer (Full Bid)</t>
  </si>
  <si>
    <t>Model N, Inc.</t>
  </si>
  <si>
    <t>BlackRock, Inc. (NYSE:BLK); The Vanguard Group, Inc.; Artisan Partners Limited Partnership; Conestoga Capital Advisors, LLC; ClearBridge Investments, LLC; Conestoga Funds - Conestoga Small Cap Fund (MutualFund:CCAS.X); Artisan Partners Asset Management Inc. (NYSE:APAM); Neuberger Berman Group LLC; Artisan Partners Holdings LP; Artisan Investments GP LLC</t>
  </si>
  <si>
    <t>IQTR1877508870</t>
  </si>
  <si>
    <t>Mile High Invest As</t>
  </si>
  <si>
    <t>IQTR1818163486</t>
  </si>
  <si>
    <t>SADA Systems, LLC</t>
  </si>
  <si>
    <t>Insight Enterprises, Inc. (NasdaqGS:NSIT)</t>
  </si>
  <si>
    <t>Verse Holdco, Inc.</t>
  </si>
  <si>
    <t>IQTR1863472255</t>
  </si>
  <si>
    <t>Acquisition of Majority Stake; Cash Merger; Corporate Divestiture; Earnout Payments</t>
  </si>
  <si>
    <t>4iG Nyrt. (BUSE:4IG)</t>
  </si>
  <si>
    <t>BUSE:4IG</t>
  </si>
  <si>
    <t>Rheinmetall AG (XTRA:RHM)</t>
  </si>
  <si>
    <t>KZF Vagyonkezelo Korlátolt Felelosségu Társaság</t>
  </si>
  <si>
    <t>IQTR1759782244</t>
  </si>
  <si>
    <t>Benefitfocus.com, Inc.</t>
  </si>
  <si>
    <t>Voya Financial, Inc. (NYSE:VOYA)</t>
  </si>
  <si>
    <t>BlackRock, Inc. (NYSE:BLK); The Vanguard Group, Inc.; Archon Capital Management LLC; Indaba Capital Management, L.P.; BuildGroup LLC</t>
  </si>
  <si>
    <t>IQTR1813989254</t>
  </si>
  <si>
    <t>Kin and Carta Holdco Limited</t>
  </si>
  <si>
    <t>BC Partners LLP</t>
  </si>
  <si>
    <t>Sand Grove Capital Management LLP; Coast Capital Management, LP; Samson Rock Capital LLP</t>
  </si>
  <si>
    <t>IQTR1866608145</t>
  </si>
  <si>
    <t>ACENSI SAS</t>
  </si>
  <si>
    <t>Azulis Capital</t>
  </si>
  <si>
    <t>IQTR1945534225</t>
  </si>
  <si>
    <t>Acquisition of Majority Stake; Management Participated; Terms Not Disclosed</t>
  </si>
  <si>
    <t>Zix Corporation</t>
  </si>
  <si>
    <t>True Wind Capital Management, L.P.</t>
  </si>
  <si>
    <t>IQTR1757381756</t>
  </si>
  <si>
    <t>Acquisition of Majority Stake; Cash Merger; Cross-Border; Tender Offer; Tender Offer (Full Bid)</t>
  </si>
  <si>
    <t>SVOA Public Company Limited (SET:SVOA)</t>
  </si>
  <si>
    <t>SET:SVOA</t>
  </si>
  <si>
    <t>Apsilon Ventures Pte Ltd</t>
  </si>
  <si>
    <t>IQTR1848366456</t>
  </si>
  <si>
    <t>Acquisition of Minority Stake; Individual Investors Participated</t>
  </si>
  <si>
    <t>DOUZONE HOLDINGS Co., Ltd</t>
  </si>
  <si>
    <t>IQTR1860070103</t>
  </si>
  <si>
    <t>Netcompany-Intrasoft S.A.</t>
  </si>
  <si>
    <t>Netcompany Group A/S (CPSE:NETC)</t>
  </si>
  <si>
    <t>Intracom Holdings S.A. (ATSE:INTRK)</t>
  </si>
  <si>
    <t>IQTR1684766634</t>
  </si>
  <si>
    <t>Nanjing Zhidi Huiying Technology Partnership Enterprise (Limited Partnership); Zhejiang Zhiyong Equity Investment Partnership Enterprise (Limited Partnership)</t>
  </si>
  <si>
    <t>IQTR1955505798</t>
  </si>
  <si>
    <t>LivePerson, Inc.</t>
  </si>
  <si>
    <t>SoundHound AI, Inc. (NasdaqGM:SOUN)</t>
  </si>
  <si>
    <t>Davidson Kempner Capital Management LP</t>
  </si>
  <si>
    <t>IQTR1996293988</t>
  </si>
  <si>
    <t>ZeroFox Holdings, Inc.</t>
  </si>
  <si>
    <t>Haveli Investment Management LLC</t>
  </si>
  <si>
    <t>Highland Capital Partners LLC; New Enterprise Associates, Inc.; Silver Lake Technology Management, L.L.C.; Core Management II Corporation; Intel Capital Corporation; Hercules Capital, Inc. (NYSE:HTGC); Alsop Louie Partners; Monarch Alternative Capital LP; Victory Park Capital Advisors, LLC; BlueCross BlueShield Venture Partners, L.P.; Redline Capital Management S.A; TEDCO Capital Partners; Peloton Equity, LLC; ForgePoint Capital Management, LLC</t>
  </si>
  <si>
    <t>IQTR1871013178</t>
  </si>
  <si>
    <t>Ookla, LLC</t>
  </si>
  <si>
    <t>Accenture, Inc</t>
  </si>
  <si>
    <t>Ziff Davis, Inc. (NasdaqGS:ZD)</t>
  </si>
  <si>
    <t>IQTR1987468048</t>
  </si>
  <si>
    <t>Blue Prism Group Limited</t>
  </si>
  <si>
    <t>SS&amp;C Technologies Holdings, Inc. (NasdaqGS:SSNC)</t>
  </si>
  <si>
    <t>Jupiter Investment Management Limited; Lead Edge Capital Management, LLC; Coast Capital Management, LP</t>
  </si>
  <si>
    <t>IQTR1760644868</t>
  </si>
  <si>
    <t>IQTR1816624270</t>
  </si>
  <si>
    <t>Adastra Corporation</t>
  </si>
  <si>
    <t>IQTR1954164376</t>
  </si>
  <si>
    <t>Acquisition of Majority Stake; Cash Merger; Cross-Border; Leveraged Buy Out (LBO); Terms Not Disclosed</t>
  </si>
  <si>
    <t>TaxACT Holdings, Inc.</t>
  </si>
  <si>
    <t>DS Admiral Bidco, LLC</t>
  </si>
  <si>
    <t>Avantax, Inc.</t>
  </si>
  <si>
    <t>IQTR1813442470</t>
  </si>
  <si>
    <t>Cigniti Technologies Limited (BSE:534758)</t>
  </si>
  <si>
    <t>BSE:534758</t>
  </si>
  <si>
    <t>IQTR1914744113</t>
  </si>
  <si>
    <t>Acquisition of Minority Stake; Majority Shareholder Increasing Ownership Stake; Majority Shareholder Purchasing Remaining Shares; Stock Merger</t>
  </si>
  <si>
    <t>IQTR1879987360</t>
  </si>
  <si>
    <t>Acquisition of Minority Stake; Minority Shareholder Gaining Majority Control; Minority Shareholder Increasing Ownership Stake</t>
  </si>
  <si>
    <t>IQTR1880003425</t>
  </si>
  <si>
    <t>Acquisition of Minority Stake; Minority Shareholder Increasing Ownership Stake; Tender Offer; Tender Offer (Partial Bid)</t>
  </si>
  <si>
    <t>Estacionamientos y Servicios, S.A.U.</t>
  </si>
  <si>
    <t>Tikehau Capital (ENXTPA:TKO)</t>
  </si>
  <si>
    <t>H.I.G. Capital, LLC; H.I.G. Europe Realty Partners</t>
  </si>
  <si>
    <t>IQTR1944197956</t>
  </si>
  <si>
    <t>Forterro UK Ltd</t>
  </si>
  <si>
    <t>Partners Group Holding AG (SWX:PGHN)</t>
  </si>
  <si>
    <t>Battery Ventures L.P.</t>
  </si>
  <si>
    <t>IQTR1773159845</t>
  </si>
  <si>
    <t>Absolute Software Corporation</t>
  </si>
  <si>
    <t>Crosspoint Capital Partners, LP</t>
  </si>
  <si>
    <t>Edenbrook Capital, Llc</t>
  </si>
  <si>
    <t>IQTR1837531418</t>
  </si>
  <si>
    <t>Vinx Corp.</t>
  </si>
  <si>
    <t>IQTR1868553483</t>
  </si>
  <si>
    <t>UCloud Technology Co., Ltd. (SHSE:688158)</t>
  </si>
  <si>
    <t>SHSE:688158</t>
  </si>
  <si>
    <t>Shanghai Taiying Private Equity Fund Management Co., Ltd.</t>
  </si>
  <si>
    <t>IQTR1967299639</t>
  </si>
  <si>
    <t>Esker SA</t>
  </si>
  <si>
    <t>General Atlantic Ltd.; Bridgepoint Group plc (LSE:BPT)</t>
  </si>
  <si>
    <t>IQTR1898091901</t>
  </si>
  <si>
    <t>Acquisition of Majority Stake; Cash Merger; Cross-Border; Equity Reinvestment; Going Private Transaction; Management Participated; Squeeze Out / Short Form Merger; Tender Offer; Tender Offer (Full Bid)</t>
  </si>
  <si>
    <t>Fujitsu Services GmbH</t>
  </si>
  <si>
    <t>AEQUITA SE &amp; Co KGaA</t>
  </si>
  <si>
    <t>Fujitsu Limited (TSE:6702)</t>
  </si>
  <si>
    <t>IQTR1861945505</t>
  </si>
  <si>
    <t>Acquisition of Majority Stake; Cash Merger; Corporate Divestiture; Leveraged Buy Out (LBO); Terms Not Disclosed</t>
  </si>
  <si>
    <t>Claranet Portugal S.A.</t>
  </si>
  <si>
    <t>NOS, S.G.P.S., S.A. (ENXTLS:NOS)</t>
  </si>
  <si>
    <t>Claranet Group Limited</t>
  </si>
  <si>
    <t>IQTR1928837650</t>
  </si>
  <si>
    <t>Couchbase, Inc.</t>
  </si>
  <si>
    <t>Accel Management Co, Inc.; Adams Street Partners, LLC; Glynn Capital Management, LLC; Mayfield Fund, L.L.C.; North Bridge Venture Partners; BlackRock, Inc. (NYSE:BLK); The Vanguard Group, Inc.; Sorenson Capital; Haveli Investment Management LLC</t>
  </si>
  <si>
    <t>IQTR1949429652</t>
  </si>
  <si>
    <t>Acquisition of Majority Stake; Cash Merger; Equity Reinvestment; Go Shop Provision; Going Private Transaction; Leveraged Buy Out (LBO)</t>
  </si>
  <si>
    <t>Heavy Construction Systems Specialists, LLC</t>
  </si>
  <si>
    <t>Nemetschek SE (XTRA:NEM)</t>
  </si>
  <si>
    <t>IQTR1995165311</t>
  </si>
  <si>
    <t>Columbus A/S (CPSE:COLUM)</t>
  </si>
  <si>
    <t>CPSE:COLUM</t>
  </si>
  <si>
    <t>Protector Forsikring ASA (OB:PROT)</t>
  </si>
  <si>
    <t>IQTR1856426784</t>
  </si>
  <si>
    <t>Fortnox AB (publ)</t>
  </si>
  <si>
    <t>EQT AB (publ) (OM:EQT); First Kraft Ab</t>
  </si>
  <si>
    <t>AMF Fonder AB</t>
  </si>
  <si>
    <t>IQTR1936981870</t>
  </si>
  <si>
    <t>Acquisition of Majority Stake; Cash Merger; Minority Shareholder Increasing Ownership Stake; Squeeze Out / Short Form Merger; Tender Offer; Tender Offer (Full Bid)</t>
  </si>
  <si>
    <t>Shenzhen Ysstech Info-Tech Co.,Ltd (SZSE:300377)</t>
  </si>
  <si>
    <t>SZSE:300377</t>
  </si>
  <si>
    <t>Hundsun Technologies Inc. (SHSE:600570)</t>
  </si>
  <si>
    <t>IQTR1888599526</t>
  </si>
  <si>
    <t>Advanced Information Technology Public Company Limited (SET:AIT)</t>
  </si>
  <si>
    <t>SET:AIT</t>
  </si>
  <si>
    <t>Turnkey Communication Services Public Company Limited (SET:TKC)</t>
  </si>
  <si>
    <t>IQTR1931546963</t>
  </si>
  <si>
    <t>Digital Garage, Inc. (TSE:4819)</t>
  </si>
  <si>
    <t>TSE:4819</t>
  </si>
  <si>
    <t>Resona Holdings, Inc. (TSE:8308)</t>
  </si>
  <si>
    <t>Oasis Management Company Ltd.</t>
  </si>
  <si>
    <t>IQTR1955235798</t>
  </si>
  <si>
    <t>Altia Consultores, S.A. (BME:ALC)</t>
  </si>
  <si>
    <t>BME:ALC</t>
  </si>
  <si>
    <t>Casa Kishoo, S.A.</t>
  </si>
  <si>
    <t>Incio Inversiones, S.L.</t>
  </si>
  <si>
    <t>IQTR1839386429</t>
  </si>
  <si>
    <t>Linx Participações S.A.</t>
  </si>
  <si>
    <t>TOTVS S.A. (BOVESPA:TOTS3)</t>
  </si>
  <si>
    <t>Stone Corporate e Holding S.A.</t>
  </si>
  <si>
    <t>IQTR1954220754</t>
  </si>
  <si>
    <t>Blulink S.r.l.</t>
  </si>
  <si>
    <t>Impresoft S.p.A.</t>
  </si>
  <si>
    <t>IQTR1930271263</t>
  </si>
  <si>
    <t>PFSweb, Inc.</t>
  </si>
  <si>
    <t>GXO Logistics, Inc. (NYSE:GXO)</t>
  </si>
  <si>
    <t>transcosmos inc. (TSE:9715)</t>
  </si>
  <si>
    <t>IQTR1855773404</t>
  </si>
  <si>
    <t>Beijing Global Safety Technology Co., Ltd. (SZSE:300523)</t>
  </si>
  <si>
    <t>SZSE:300523</t>
  </si>
  <si>
    <t>Hefei State-owned Capital Venture Capital Co., Ltd</t>
  </si>
  <si>
    <t>Shanghai Railway Science &amp; Technology Co., Ltd.</t>
  </si>
  <si>
    <t>IQTR1944496162</t>
  </si>
  <si>
    <t>ForgeRock, Inc.</t>
  </si>
  <si>
    <t>Accel Management Co, Inc.; KKR &amp; Co. Inc. (NYSE:KKR); Meritech Sub-Management Corporation; Foundation Capital; T. Rowe Price Associates, Inc.; Riverwood Capital Management L.P.</t>
  </si>
  <si>
    <t>IQTR1804260665</t>
  </si>
  <si>
    <t>Enfusion, Inc.</t>
  </si>
  <si>
    <t>Brown Capital Management, LLC; ICONIQ Capital, LLC; ELL Investments, L.P.; FTV Investment Holdings, L.P.; CSL Tech Holdings, LLC; Malherbe Investments, LLC; LRA Ventures, LLC</t>
  </si>
  <si>
    <t>IQTR1916481132</t>
  </si>
  <si>
    <t>Optro, Inc.</t>
  </si>
  <si>
    <t>IQTR1881839097</t>
  </si>
  <si>
    <t>Acquisition of Majority Stake; Cash Merger; Cross-Border; Leveraged Buy Out (LBO)</t>
  </si>
  <si>
    <t>Bechtle AG (XTRA:BC8)</t>
  </si>
  <si>
    <t>Brightcove Inc.</t>
  </si>
  <si>
    <t>Bending Spoons US, Inc.</t>
  </si>
  <si>
    <t>180 Degree Capital Corp.; Barclays PLC (LSE:BARC); The Vanguard Group, Inc.; Edenbrook Capital, Llc; Beryl Capital Management LLC; Lynrock Lake LP</t>
  </si>
  <si>
    <t>IQTR1905113400</t>
  </si>
  <si>
    <t>Concentrix SREV, Inc.</t>
  </si>
  <si>
    <t>Concentrix Corporation (NasdaqGS:CNXC)</t>
  </si>
  <si>
    <t>PRIMECAP Management Company; Archon Capital Management LLC; Edenbrook Capital, Llc; Lynrock Lake LP</t>
  </si>
  <si>
    <t>IQTR1782192548</t>
  </si>
  <si>
    <t>IT infrastructure outsourcing business of NNIT</t>
  </si>
  <si>
    <t>Agilitas Private Equity Services Limited</t>
  </si>
  <si>
    <t>NNIT A/S (CPSE:NNIT)</t>
  </si>
  <si>
    <t>IQTR1787795680</t>
  </si>
  <si>
    <t>ZJBC Information Technology Co., Ltd (SZSE:000889)</t>
  </si>
  <si>
    <t>SZSE:000889</t>
  </si>
  <si>
    <t>IQTR1897775106</t>
  </si>
  <si>
    <t>KinetIT Lda</t>
  </si>
  <si>
    <t>BABEL SISTEMAS DE INFORMACIÓN S.L.</t>
  </si>
  <si>
    <t>IQTR1872268502</t>
  </si>
  <si>
    <t>Rizing, LLC</t>
  </si>
  <si>
    <t>Wipro Limited (BSE:507685)</t>
  </si>
  <si>
    <t>IQTR1780580436</t>
  </si>
  <si>
    <t>R Systems International Limited (NSEI:RSYSTEMS)</t>
  </si>
  <si>
    <t>NSEI:RSYSTEMS</t>
  </si>
  <si>
    <t>BCP Asia II Topco II Pte. Ltd.</t>
  </si>
  <si>
    <t>Satinder &amp; Harpreet Rekhi Family Trust</t>
  </si>
  <si>
    <t>IQTR1815364960</t>
  </si>
  <si>
    <t>IQTR1815554398</t>
  </si>
  <si>
    <t>Microware Group Limited (SEHK:1985)</t>
  </si>
  <si>
    <t>SEHK:1985</t>
  </si>
  <si>
    <t>IQTR1935854473</t>
  </si>
  <si>
    <t>Acquisition of Minority Stake; Individual Investors Participated; Minority Shareholder Gaining Majority Control; Minority Shareholder Increasing Ownership Stake; Tender Offer; Tender Offer (Partial Bid)</t>
  </si>
  <si>
    <t>Linewell Software Co., Ltd. (SHSE:603636)</t>
  </si>
  <si>
    <t>SHSE:603636</t>
  </si>
  <si>
    <t>Tianjin Qizhong Shiyuan Enterprise Management Partnership (Limited Partnership)</t>
  </si>
  <si>
    <t>IQTR1911544526</t>
  </si>
  <si>
    <t>Banqup Group SA (ENXTBR:BANQ)</t>
  </si>
  <si>
    <t>ENXTBR:BANQ</t>
  </si>
  <si>
    <t>Alychlo NV</t>
  </si>
  <si>
    <t>IQTR1792541946</t>
  </si>
  <si>
    <t>Guangdong Aofei Data Technology Co., Ltd. (SZSE:300738)</t>
  </si>
  <si>
    <t>SZSE:300738</t>
  </si>
  <si>
    <t>Guangzhou Haomeng Computer Technology Co., Ltd.</t>
  </si>
  <si>
    <t>IQTR1788585321</t>
  </si>
  <si>
    <t>IQTR1788588635</t>
  </si>
  <si>
    <t>MoPub, Inc.</t>
  </si>
  <si>
    <t>AppLovin Corporation (NasdaqGS:APP)</t>
  </si>
  <si>
    <t>Twitter, Inc.</t>
  </si>
  <si>
    <t>IQTR1684571974</t>
  </si>
  <si>
    <t>WSOL Public Company Limited (SET:WSOL)</t>
  </si>
  <si>
    <t>IQTR1849433741</t>
  </si>
  <si>
    <t>Yayoi Co., Ltd.</t>
  </si>
  <si>
    <t>ORIX Corporation (TSE:8591)</t>
  </si>
  <si>
    <t>IQTR1762165310</t>
  </si>
  <si>
    <t>Acquisition of Majority Stake; Cash Merger; Corporate Divestiture; Cross-Border; Leveraged Buy Out (LBO); Terms Not Disclosed</t>
  </si>
  <si>
    <t>Vitec Software Group AB (publ) (OM:VIT B)</t>
  </si>
  <si>
    <t>OM:VIT B</t>
  </si>
  <si>
    <t>IQTR1819901985</t>
  </si>
  <si>
    <t>UserTesting, Inc.</t>
  </si>
  <si>
    <t>Thoma Bravo, L.P.; Sunstone Partners Management, LLC</t>
  </si>
  <si>
    <t>Accel Management Co, Inc.; Insight Venture Management, LLC; Greenspring Associates, Inc.; OpenView Advisors, LLC; StepStone Group Inc. (NasdaqGS:STEP)</t>
  </si>
  <si>
    <t>IQTR1806254302</t>
  </si>
  <si>
    <t>Luxempart (BDL:LXMPR)</t>
  </si>
  <si>
    <t>IQTR1762416998</t>
  </si>
  <si>
    <t>Moore Canada Corporation</t>
  </si>
  <si>
    <t>DATA Communications Management Corp. (TSX:DCM)</t>
  </si>
  <si>
    <t>R. R. Donnelley &amp; Sons Company</t>
  </si>
  <si>
    <t>IQTR1827020093</t>
  </si>
  <si>
    <t>Capitalonline Data Service Co., Ltd. (SZSE:300846)</t>
  </si>
  <si>
    <t>SZSE:300846</t>
  </si>
  <si>
    <t>Nanjing Yunzhituo Venture Capital Partnership (Limited Partnership)</t>
  </si>
  <si>
    <t>IQTR1961115128</t>
  </si>
  <si>
    <t>Sinodata Co., Ltd. (SZSE:002657)</t>
  </si>
  <si>
    <t>SZSE:002657</t>
  </si>
  <si>
    <t>IQTR1830580288</t>
  </si>
  <si>
    <t>Onfido Limited</t>
  </si>
  <si>
    <t>Entrust Corporation</t>
  </si>
  <si>
    <t>TPG Capital, L.P.; Wellington Partners Advisory AG; SBI Investment Co., Ltd.; Talis Capital Limited; Plug and Play, LLC; Augmentum Fintech; Acequia Capital Management, LLC; Salesforce Ventures, LLC; Creditease Corp., Investment Arm; B&amp;Y Venture Partners; Crane Venture Partners LLP; Augmentum Fintech PLC</t>
  </si>
  <si>
    <t>IQTR1877648199</t>
  </si>
  <si>
    <t>One store Co., Ltd.</t>
  </si>
  <si>
    <t>Korea Investment Partners Co. Ltd.; LK Investment Partners Co., Ltd.</t>
  </si>
  <si>
    <t>SKS Private Equity</t>
  </si>
  <si>
    <t>IQTR1871008546</t>
  </si>
  <si>
    <t>Aquanexa S.R.L.</t>
  </si>
  <si>
    <t>a.Quantum S.p.A.</t>
  </si>
  <si>
    <t>Algebris Investments (UK) LLP; Pt Holding S.r.l.; Rgg Holding S.R.L.</t>
  </si>
  <si>
    <t>IQTR1974977434</t>
  </si>
  <si>
    <t>Acquisition of Majority Stake; Earnout Payments; Equity Reinvestment; Individual Investors Participated</t>
  </si>
  <si>
    <t>Unisono Solutions Group SL</t>
  </si>
  <si>
    <t>Intelcia Group S.A</t>
  </si>
  <si>
    <t>IQTR1680133644</t>
  </si>
  <si>
    <t>NEXTGEN Group Pty Limited</t>
  </si>
  <si>
    <t>IQTR1876134947</t>
  </si>
  <si>
    <t>Sojern, Inc.</t>
  </si>
  <si>
    <t>Rategain Technologies Limited</t>
  </si>
  <si>
    <t>Focus Ventures; TCMI Inc.</t>
  </si>
  <si>
    <t>IQTR1962753638</t>
  </si>
  <si>
    <t>UCHIDA ESCO Co.,Ltd.</t>
  </si>
  <si>
    <t>Uchida Yoko Co., Ltd. (TSE:8057)</t>
  </si>
  <si>
    <t>IQTR1763472713</t>
  </si>
  <si>
    <t>Acquisition of Majority Stake; Minority Shareholder Gaining Majority Control; Minority Shareholder Increasing Ownership Stake</t>
  </si>
  <si>
    <t>ChannelAdvisor Corporation</t>
  </si>
  <si>
    <t>Rithum Holdings, Inc.</t>
  </si>
  <si>
    <t>BlackRock, Inc. (NYSE:BLK); The Vanguard Group, Inc.; Janus Henderson Group Ltd.; Magnetar Capital Partners, LP; ArrowMark Colorado Holdings, LLC</t>
  </si>
  <si>
    <t>IQTR1799719873</t>
  </si>
  <si>
    <t>Basware Oy</t>
  </si>
  <si>
    <t>Accel-KKR LLC; Briarwood Capital Management Inc.; Long Path Partners, LP</t>
  </si>
  <si>
    <t>Keskinäinen Eläkevakuutusyhtiö Ilmarinen; Fourth Swedish National Pension Fund (AP4); Lannebo Fonder AB</t>
  </si>
  <si>
    <t>IQTR1778303466</t>
  </si>
  <si>
    <t>Acquisition of Majority Stake; Cash Merger; Cross-Border; Minority Shareholder Increasing Ownership Stake; Squeeze Out / Short Form Merger; Tender Offer; Tender Offer (Full Bid)</t>
  </si>
  <si>
    <t>Cint Group AB (publ)</t>
  </si>
  <si>
    <t>Triton; Bolero Holdings SARL</t>
  </si>
  <si>
    <t>IQTR1997615200</t>
  </si>
  <si>
    <t>Acquisition of Majority Stake; Cross-Border; Minority Shareholder Increasing Ownership Stake; Tender Offer; Tender Offer (Full Bid)</t>
  </si>
  <si>
    <t>Synchronoss Technologies, Inc.</t>
  </si>
  <si>
    <t>Lumine Group Inc. (TSXV:LMN)</t>
  </si>
  <si>
    <t>Mount Logan Capital Inc. (NasdaqGM:MLCI); B. Riley Principal Investments, LLC</t>
  </si>
  <si>
    <t>IQTR1973020838</t>
  </si>
  <si>
    <t>iomart Group plc (AIM:IOM)</t>
  </si>
  <si>
    <t>AIM:IOM</t>
  </si>
  <si>
    <t>Schroder Investment Management Limited</t>
  </si>
  <si>
    <t>Liontrust Asset Management PLC (LSE:LIO)</t>
  </si>
  <si>
    <t>IQTR1906569093</t>
  </si>
  <si>
    <t>HW Holdco, LLC</t>
  </si>
  <si>
    <t>CoStar Realty Information, Inc.</t>
  </si>
  <si>
    <t>MidOcean US Advisor, LP</t>
  </si>
  <si>
    <t>IQTR2002846734</t>
  </si>
  <si>
    <t>AdvanceSoft.Co,.Ltd.</t>
  </si>
  <si>
    <t>Computer Institute of Japan, Ltd. (TSE:4826)</t>
  </si>
  <si>
    <t>IQTR1902259295</t>
  </si>
  <si>
    <t>WideOrbit Inc.</t>
  </si>
  <si>
    <t>IQTR1818555819</t>
  </si>
  <si>
    <t>Silverlake Axis Ltd.</t>
  </si>
  <si>
    <t>Zezz FundQ Pte. Ltd.</t>
  </si>
  <si>
    <t>IQTR1892415814</t>
  </si>
  <si>
    <t>Acquisition of Minority Stake; Cross-Border; Majority Shareholder Increasing Ownership Stake; Majority Shareholder Purchasing Remaining Shares; Squeeze Out / Short Form Merger; Tender Offer; Tender Offer (Full Bid)</t>
  </si>
  <si>
    <t>GK Software SE</t>
  </si>
  <si>
    <t>Fujitsu ND Solutions AG</t>
  </si>
  <si>
    <t>IQTR1828358280</t>
  </si>
  <si>
    <t>Acquisition of Majority Stake; Cross-Border; Tender Offer; Tender Offer (Full Bid)</t>
  </si>
  <si>
    <t>Ryomo Systems Co.,Ltd. (TSE:9691)</t>
  </si>
  <si>
    <t>TSE:9691</t>
  </si>
  <si>
    <t>Chubu Electric Power Company, Incorporated (TSE:9502); Mitsuba Corporation (TSE:7280)</t>
  </si>
  <si>
    <t>Secom General Insurance Co., Ltd.; Custody Bank of Japan, Ltd.; Kiryu Gas Co., Ltd.; Ryuei Seiko, K.K.; Sunfield Industry Co., Ltd.; Hikari Tsushin Investments Okinawa Co., Ltd.</t>
  </si>
  <si>
    <t>IQTR2000503654</t>
  </si>
  <si>
    <t>Acquisition of Minority Stake; Going Private Transaction; Majority Shareholder Increasing Ownership Stake; Squeeze Out / Short Form Merger; Tender Offer; Tender Offer (Full Bid)</t>
  </si>
  <si>
    <t>PCI Holdings, Inc. (TSE:3918)</t>
  </si>
  <si>
    <t>TSE:3918</t>
  </si>
  <si>
    <t>Restar Corporation (TSE:3156)</t>
  </si>
  <si>
    <t>IQTR1891278275</t>
  </si>
  <si>
    <t>Acquisition of Minority Stake; Minority Shareholder Gaining Majority Control; Minority Shareholder Increasing Ownership Stake; Tender Offer; Tender Offer (Partial Bid)</t>
  </si>
  <si>
    <t>KOSDAQ:A010280</t>
  </si>
  <si>
    <t>IQTR1687152009</t>
  </si>
  <si>
    <t>Matterport, Inc.</t>
  </si>
  <si>
    <t>CoStar Group, Inc. (NasdaqGS:CSGP)</t>
  </si>
  <si>
    <t>DCM Ventures Inc.; BlackRock, Inc. (NYSE:BLK); The Vanguard Group, Inc.; Qualcomm Ventures LLC; Lux Capital Management, LLC; State Auto Labs Corp.</t>
  </si>
  <si>
    <t>IQTR1878845341</t>
  </si>
  <si>
    <t>Acquisition of Majority Stake; Collar Consideration Structure</t>
  </si>
  <si>
    <t>Micropole S.A.</t>
  </si>
  <si>
    <t>Talan SAS</t>
  </si>
  <si>
    <t>NextStage AM; Dorval Asset Management; NextStage SCA</t>
  </si>
  <si>
    <t>IQTR1884945828</t>
  </si>
  <si>
    <t>Acquisition of Majority Stake; Squeeze Out / Short Form Merger; Tender Offer; Tender Offer (Full Bid)</t>
  </si>
  <si>
    <t>Beijing Waluer Information Technology Co., Ltd. (SZSE:301380)</t>
  </si>
  <si>
    <t>SZSE:301380</t>
  </si>
  <si>
    <t>Beijing Kaisheng Enterprise Management Development Center</t>
  </si>
  <si>
    <t>IQTR1987290630</t>
  </si>
  <si>
    <t>akquinet AG</t>
  </si>
  <si>
    <t>Deutsche Beteiligungs AG (XTRA:DBAN)</t>
  </si>
  <si>
    <t>IQTR1775214259</t>
  </si>
  <si>
    <t>Acquisition of Majority Stake; Cash Merger; Leveraged Buy Out (LBO); Management Buyout; Management Participated; Terms Not Disclosed</t>
  </si>
  <si>
    <t>Core BTS, Inc.</t>
  </si>
  <si>
    <t>Nomura Research Institute Holdings America, Inc.</t>
  </si>
  <si>
    <t>Tailwind Management LP</t>
  </si>
  <si>
    <t>IQTR1757568010</t>
  </si>
  <si>
    <t>Senetic Holding S.A.</t>
  </si>
  <si>
    <t>Euvic S.A. (WSE:EUV); Gemini Holding Sp. z.o.o.; Hyperr Sp. z o.o.</t>
  </si>
  <si>
    <t>IQTR1892874219</t>
  </si>
  <si>
    <t>Green Mobility Holding GmbH</t>
  </si>
  <si>
    <t>Rivean Capital B.V.</t>
  </si>
  <si>
    <t>DPE Investment Gesellschaft mbH</t>
  </si>
  <si>
    <t>IQTR1841179833</t>
  </si>
  <si>
    <t>Youzan Technology Inc.</t>
  </si>
  <si>
    <t>Youzan Technology Limited (SEHK:6051)</t>
  </si>
  <si>
    <t>IQTR1841428251</t>
  </si>
  <si>
    <t>Acquisition of Minority Stake; Cross-Border; Majority Shareholder Increasing Ownership Stake; Majority Shareholder Purchasing Remaining Shares; Stock Merger</t>
  </si>
  <si>
    <t>MiX Telematics Limited</t>
  </si>
  <si>
    <t>PowerFleet, Inc. (NasdaqGM:AIOT)</t>
  </si>
  <si>
    <t>ABRY Partners, LLC</t>
  </si>
  <si>
    <t>IQTR1858746049</t>
  </si>
  <si>
    <t>Microware International Holdings Limited</t>
  </si>
  <si>
    <t>IQTR1846649324</t>
  </si>
  <si>
    <t>Facile.it S.p.A.</t>
  </si>
  <si>
    <t>EQT Partners AB; Oakley Capital Limited</t>
  </si>
  <si>
    <t>IQTR1787740231</t>
  </si>
  <si>
    <t>IVU Traffic Technologies AG (XTRA:IVU)</t>
  </si>
  <si>
    <t>XTRA:IVU</t>
  </si>
  <si>
    <t>Mission Trail Capital Management, LLC</t>
  </si>
  <si>
    <t>Daimler Buses GmbH</t>
  </si>
  <si>
    <t>IQTR1913342504</t>
  </si>
  <si>
    <t>Metering Business of Vector Limited</t>
  </si>
  <si>
    <t>QIC Private Capital Pty Ltd</t>
  </si>
  <si>
    <t>Vector Limited (NZSE:VCT)</t>
  </si>
  <si>
    <t>IQTR1819258553</t>
  </si>
  <si>
    <t>Keysight Technologies France</t>
  </si>
  <si>
    <t>Keysight Technologies Netherlands B.V.</t>
  </si>
  <si>
    <t>IQTR1861508166</t>
  </si>
  <si>
    <t>Acquisition of Minority Stake; Cash Merger; Cross-Border; Majority Shareholder Increasing Ownership Stake; Majority Shareholder Purchasing Remaining Shares; Squeeze Out / Short Form Merger; Tender Offer; Tender Offer (Full Bid)</t>
  </si>
  <si>
    <t>Volue AS</t>
  </si>
  <si>
    <t>Advent International, L.P.; Generation Investment Management LLP</t>
  </si>
  <si>
    <t>Arendals Fossekompani ASA (OB:AFK); Havfonn AS; Must Invest AS; Ulfoss Invest AS</t>
  </si>
  <si>
    <t>IQTR1887345889</t>
  </si>
  <si>
    <t>Acquisition of Majority Stake; Cash Merger; Cross-Border; Going Private Transaction; Squeeze Out / Short Form Merger; Tender Offer; Tender Offer (Full Bid)</t>
  </si>
  <si>
    <t>Keysight Technologies, Inc. (NYSE:KEYS)</t>
  </si>
  <si>
    <t>Briarwood Capital Management Inc.; Long Path Partners, LP</t>
  </si>
  <si>
    <t>IQTR1856787058</t>
  </si>
  <si>
    <t>Zenvia Inc. (OTCPK:ZENV.F)</t>
  </si>
  <si>
    <t>OTCPK:ZENV.F</t>
  </si>
  <si>
    <t>Tencent Holdings Limited (SEHK:700)</t>
  </si>
  <si>
    <t>IQTR1776523808</t>
  </si>
  <si>
    <t>Beijing Certificate Authority Co.,Ltd. (SZSE:300579)</t>
  </si>
  <si>
    <t>SZSE:300579</t>
  </si>
  <si>
    <t>Beijing Data Group Co., Ltd.</t>
  </si>
  <si>
    <t>Beijing State-Owned Assets Management Co., Ltd.</t>
  </si>
  <si>
    <t>IQTR1959763522</t>
  </si>
  <si>
    <t>BTRS Holdings Inc.</t>
  </si>
  <si>
    <t>Eqt Fund Management S.à R.L.</t>
  </si>
  <si>
    <t>The Vanguard Group, Inc.; Senvest Management, LLC; W Capital Management, LLC; Bain Capital Ventures,LP; Riverwood Capital Management L.P.; BCIP Venture Associates; BCIP Venture Associates-B</t>
  </si>
  <si>
    <t>IQTR1802493741</t>
  </si>
  <si>
    <t>Finance, Risk and Regulatory Reporting unit of Wolters Kluwer Financial Services, Inc.</t>
  </si>
  <si>
    <t>Regnology Group GmbH</t>
  </si>
  <si>
    <t>Wolters Kluwer Financial Services, Inc.</t>
  </si>
  <si>
    <t>IQTR1954051307</t>
  </si>
  <si>
    <t>LiveVox Holdings, Inc.</t>
  </si>
  <si>
    <t>inContact, Inc.</t>
  </si>
  <si>
    <t>Golden Gate Private Equity, Inc.</t>
  </si>
  <si>
    <t>IQTR1858079812</t>
  </si>
  <si>
    <t>Piesat Information Technology Co., Ltd. (SHSE:688066)</t>
  </si>
  <si>
    <t>SHSE:688066</t>
  </si>
  <si>
    <t>Bairuikun Investment Management (Beijing) Co., Ltd</t>
  </si>
  <si>
    <t>Beijing Hangxing Yingchuang Technology Center (Limited Partnership)</t>
  </si>
  <si>
    <t>IQTR1953575314</t>
  </si>
  <si>
    <t>Origo hf.</t>
  </si>
  <si>
    <t>AU 22 ehf.</t>
  </si>
  <si>
    <t>IQTR1851814765</t>
  </si>
  <si>
    <t>Acquisition of Minority Stake; Minority Shareholder Gaining Majority Control; Minority Shareholder Increasing Ownership Stake; Tender Offer; Tender Offer (Full Bid); Terms Not Disclosed</t>
  </si>
  <si>
    <t>ON24, Inc.</t>
  </si>
  <si>
    <t>Decision Street, LLC</t>
  </si>
  <si>
    <t>BlackRock, Inc. (NYSE:BLK); Indaba Capital Management, L.P.; Lynrock Lake LP</t>
  </si>
  <si>
    <t>IQTR1975831448</t>
  </si>
  <si>
    <t>Symbio Holdings Limited</t>
  </si>
  <si>
    <t>Aussie Broadband Limited (ASX:ABB)</t>
  </si>
  <si>
    <t>IQTR1857462641</t>
  </si>
  <si>
    <t>Coastal Cloud LLC</t>
  </si>
  <si>
    <t>Trident LE, LLC</t>
  </si>
  <si>
    <t>Sverica Capital Management LP; Salesforce Ventures, LLC</t>
  </si>
  <si>
    <t>IQTR1973797770</t>
  </si>
  <si>
    <t>Snoonu LLC</t>
  </si>
  <si>
    <t>Jahez International Company for Information Systems Technology (SASE:6017)</t>
  </si>
  <si>
    <t>Yellow Services (L.L.C.)</t>
  </si>
  <si>
    <t>IQTR1952864549</t>
  </si>
  <si>
    <t>IQTR1877216037</t>
  </si>
  <si>
    <t>WillowTree, a TELUS International Company</t>
  </si>
  <si>
    <t>Telus International Holding (U.S.A.) Corp.</t>
  </si>
  <si>
    <t>Constitution Capital Equity Partners LP; Insignia Capital Group, L.P.</t>
  </si>
  <si>
    <t>IQTR1806218807</t>
  </si>
  <si>
    <t>Acquisition of Majority Stake; Cross-Border; Equity Reinvestment; Management Participated</t>
  </si>
  <si>
    <t>JASTEC Co., Ltd.</t>
  </si>
  <si>
    <t>NTT Data Japan Corporation</t>
  </si>
  <si>
    <t>Hikari Tsushin, Inc. (TSE:9435); Tokio Marine &amp; Nichido Fire Insurance Co., Ltd.; Custody Bank of Japan, Ltd.; The Master Trust Bank of Japan, Ltd.; Sasuyama Ltd; Custody Bank of Japan, Ltd. (Trust Account); The Master Trust Bank of Japan, Ltd. (Trust Account)</t>
  </si>
  <si>
    <t>IQTR1877509408</t>
  </si>
  <si>
    <t>Acquisition of Majority Stake; Cash Merger; Tender Offer; Tender Offer (Full Bid)</t>
  </si>
  <si>
    <t>Telenor Connexion AB</t>
  </si>
  <si>
    <t>Verdane</t>
  </si>
  <si>
    <t>Telenor ASA (OB:TEL)</t>
  </si>
  <si>
    <t>IQTR2000108346</t>
  </si>
  <si>
    <t>Acquisition of Majority Stake; Cross-Border; Earnout Payments; Leveraged Buy Out (LBO)</t>
  </si>
  <si>
    <t>Cybernet Systems Co., Ltd.</t>
  </si>
  <si>
    <t>IQTR1868556646</t>
  </si>
  <si>
    <t>WithSecure Oyj</t>
  </si>
  <si>
    <t>CVC Capital Partners plc (ENXTAM:CVC)</t>
  </si>
  <si>
    <t>Varma Mutual Pension Insurance Company</t>
  </si>
  <si>
    <t>IQTR1956144133</t>
  </si>
  <si>
    <t>Acquisition of Majority Stake; Cash Merger; Cross-Border; Equity Reinvestment; Going Private Transaction; Leveraged Buy Out (LBO); Management Participated; Squeeze Out / Short Form Merger; Tender Offer; Tender Offer (Full Bid)</t>
  </si>
  <si>
    <t>Sinqia S.A.</t>
  </si>
  <si>
    <t>Evertec Brasil Informática S.A.</t>
  </si>
  <si>
    <t>IQTR1848570054</t>
  </si>
  <si>
    <t>Mindsprint Pte. Ltd.</t>
  </si>
  <si>
    <t>Wipro Networks Pte. Limited</t>
  </si>
  <si>
    <t>Olam Holdings Pte. Ltd.</t>
  </si>
  <si>
    <t>IQTR1993657514</t>
  </si>
  <si>
    <t>ATOSS Software SE (XTRA:AOF)</t>
  </si>
  <si>
    <t>XTRA:AOF</t>
  </si>
  <si>
    <t>General Atlantic Service Company, L.P.</t>
  </si>
  <si>
    <t>AOB Invest GmbH</t>
  </si>
  <si>
    <t>IQTR1843348619</t>
  </si>
  <si>
    <t>Nexign</t>
  </si>
  <si>
    <t>Megafon 1440</t>
  </si>
  <si>
    <t>IQTR1821928155</t>
  </si>
  <si>
    <t>MMAG Holdings Berhad (KLSE:MMAG)</t>
  </si>
  <si>
    <t>KLSE:MMAG</t>
  </si>
  <si>
    <t>NEXG Berhad (KLSE:NEXG)</t>
  </si>
  <si>
    <t>IQTR1936601833</t>
  </si>
  <si>
    <t>Velocity Capital Partner Berhad (KLSE:VELOCITY)</t>
  </si>
  <si>
    <t>IQTR1933453624</t>
  </si>
  <si>
    <t>Dialog Pty Ltd</t>
  </si>
  <si>
    <t>NCS PTE. LTD.</t>
  </si>
  <si>
    <t>IQTR1773655757</t>
  </si>
  <si>
    <t>Nisseicom Co., Ltd.</t>
  </si>
  <si>
    <t>SHIFT Growth Capital Inc.</t>
  </si>
  <si>
    <t>JKO Co.,Ltd.</t>
  </si>
  <si>
    <t>IQTR1978478323</t>
  </si>
  <si>
    <t>Beijing Forever Technology Co., Ltd. (SZSE:300365)</t>
  </si>
  <si>
    <t>SZSE:300365</t>
  </si>
  <si>
    <t>IQTR1775266576</t>
  </si>
  <si>
    <t>Shenzhen Yunfang Internet Technology Co., Ltd.</t>
  </si>
  <si>
    <t>Hubei Guochuang Property Management Co., Ltd.; Hubei Guochuang Chuyuan Investment Management Co., Ltd.</t>
  </si>
  <si>
    <t>Hubei Guochuang Hi-tech Material Co.,Ltd (SZSE:002377)</t>
  </si>
  <si>
    <t>IQTR1838748376</t>
  </si>
  <si>
    <t>Fuze, Inc.</t>
  </si>
  <si>
    <t>8x8, Inc. (NasdaqGS:EGHT)</t>
  </si>
  <si>
    <t>Summit Partners, L.P.; Greenspring Associates, Inc.; G20 Associates, LLC.; Wellington Management Company LLP</t>
  </si>
  <si>
    <t>IQTR1760211386</t>
  </si>
  <si>
    <t>Urgent.ly Inc.</t>
  </si>
  <si>
    <t>Agero, Inc.</t>
  </si>
  <si>
    <t>Emerald Technology Ventures AG</t>
  </si>
  <si>
    <t>IQTR1989957782</t>
  </si>
  <si>
    <t>Xuan Wu Cloud Technology Holdings Limited (SEHK:2392)</t>
  </si>
  <si>
    <t>SEHK:2392</t>
  </si>
  <si>
    <t>IQTR1966769443</t>
  </si>
  <si>
    <t>Acquisition of Minority Stake; Individual Investors Participated; Minority Shareholder Increasing Ownership Stake</t>
  </si>
  <si>
    <t>DBA Group S.p.A. (BIT:DBA)</t>
  </si>
  <si>
    <t>BIT:DBA</t>
  </si>
  <si>
    <t>Mare Group S.p.A. (BIT:MARE)</t>
  </si>
  <si>
    <t>IQTR1940213305</t>
  </si>
  <si>
    <t>Wemoov</t>
  </si>
  <si>
    <t>Blue Soft</t>
  </si>
  <si>
    <t>IQTR1994072142</t>
  </si>
  <si>
    <t>Shenzhen InfoGem Technologies Co., Ltd. (SZSE:300085)</t>
  </si>
  <si>
    <t>SZSE:300085</t>
  </si>
  <si>
    <t>IQTR1898247385</t>
  </si>
  <si>
    <t>PTV Planung Transport Verkehr GmbH</t>
  </si>
  <si>
    <t>Bridgepoint Advisers Limited</t>
  </si>
  <si>
    <t>Porsche Automobil Holding SE (XTRA:PAH3)</t>
  </si>
  <si>
    <t>IQTR1685606417</t>
  </si>
  <si>
    <t>Truecaller AB (publ) (OM:TRUE B)</t>
  </si>
  <si>
    <t>OM:TRUE B</t>
  </si>
  <si>
    <t>True Software Ec Ii Ab; True Software EC III AB; True Software EC AB; True Software EC IV AB</t>
  </si>
  <si>
    <t>IQTR1774394824</t>
  </si>
  <si>
    <t>Siili Solutions Oyj (HLSE:SIILI)</t>
  </si>
  <si>
    <t>HLSE:SIILI</t>
  </si>
  <si>
    <t>IQTR1898117177</t>
  </si>
  <si>
    <t>Finite Group APAC Pty Limited</t>
  </si>
  <si>
    <t>Randstad N.V. (ENXTAM:RAND)</t>
  </si>
  <si>
    <t>Allermuir Holdings Pty. Ltd.</t>
  </si>
  <si>
    <t>IQTR1790012501</t>
  </si>
  <si>
    <t>Acquisition of Majority Stake; Corporate Divestiture; Cross-Border; Terms Not Disclosed</t>
  </si>
  <si>
    <t>Bridgingit GmbH</t>
  </si>
  <si>
    <t>SPIE SA (ENXTPA:SPIE)</t>
  </si>
  <si>
    <t>IQTR1852980108</t>
  </si>
  <si>
    <t>Acquisition of Majority Stake; Consolidation/Roll Up; Cross-Border; Terms Not Disclosed</t>
  </si>
  <si>
    <t>Spindox S.p.A.</t>
  </si>
  <si>
    <t>Backspin S.P.A.</t>
  </si>
  <si>
    <t>IQTR1970790927</t>
  </si>
  <si>
    <t>BASE,Inc. (TSE:4477)</t>
  </si>
  <si>
    <t>TSE:4477</t>
  </si>
  <si>
    <t>IQTR1943631512</t>
  </si>
  <si>
    <t>Acquisition of Minority Stake; Individual Investors Participated; Minority Shareholder Increasing Ownership Stake; Tender Offer; Tender Offer (Partial Bid)</t>
  </si>
  <si>
    <t>Dawei Technology (Guangdong) Group Co., Ltd. (SHSE:600589)</t>
  </si>
  <si>
    <t>SHSE:600589</t>
  </si>
  <si>
    <t>Guangdong Rongtai High Grade Ceramic Co., Ltd.</t>
  </si>
  <si>
    <t>IQTR1782348863</t>
  </si>
  <si>
    <t>Spir Group ASA</t>
  </si>
  <si>
    <t>Varner Kapital AS; Karbon Invest AS; Carucel Finance AS; Stella IT AS; Stella Industrier AS</t>
  </si>
  <si>
    <t>IQTR1971943154</t>
  </si>
  <si>
    <t>Acquisition of Minority Stake; Cash Merger; Minority Shareholder Increasing Ownership Stake; Squeeze Out / Short Form Merger; Tender Offer; Tender Offer (Full Bid)</t>
  </si>
  <si>
    <t>Present SpA</t>
  </si>
  <si>
    <t>Exprivia SpA</t>
  </si>
  <si>
    <t>IQTR1929480369</t>
  </si>
  <si>
    <t>Acquisition of Majority Stake; Cash Merger; Terms Not Disclosed</t>
  </si>
  <si>
    <t>D3 Technical Services, LLC</t>
  </si>
  <si>
    <t>Symetri AB</t>
  </si>
  <si>
    <t>IQTR1840893632</t>
  </si>
  <si>
    <t>IQTR1790092354</t>
  </si>
  <si>
    <t>Quisitive Technology Solutions, Inc.</t>
  </si>
  <si>
    <t>Data Watts Partners Inc. (CNSX:DWTZ)</t>
  </si>
  <si>
    <t>IQTR1914760953</t>
  </si>
  <si>
    <t>IDOX plc</t>
  </si>
  <si>
    <t>Long Path Partners, LP</t>
  </si>
  <si>
    <t>Mercia Fund Management Ltd.; Herald Investment Trust PLC (LSE:HRI); Herald Investment Management Ltd.; Rathbones Investment Management Limited; Canaccord Genuity Asset Management Limited; Lombard Odier Asset Management (USA) Corp; SFM UK Management LLP; Trium Capital LLP; Sand Grove Capital Management LLP; Bgf Investment Management Limited; Mission Trail Capital Management, LLC; Castlebar Capital LLP</t>
  </si>
  <si>
    <t>IQTR1967762446</t>
  </si>
  <si>
    <t>Acquisition of Majority Stake; Cash Merger; Cross-Border; Minority Shareholder Increasing Ownership Stake; Minority Shareholder Purchasing Remaining Shares; Squeeze Out / Short Form Merger; Tender Offer; Tender Offer (Full Bid)</t>
  </si>
  <si>
    <t>Grupo Solutia Tecnologia Sociedad Limitada</t>
  </si>
  <si>
    <t>IQTR1951704251</t>
  </si>
  <si>
    <t>ADSMURAI S.L.</t>
  </si>
  <si>
    <t>Seaya Capital Gestion SGEIC SA</t>
  </si>
  <si>
    <t>IQTR1959706689</t>
  </si>
  <si>
    <t>Tufin Software Technologies Ltd.</t>
  </si>
  <si>
    <t>IQTR1777327605</t>
  </si>
  <si>
    <t>Acquisition of Majority Stake; Cash Merger; Cross-Border; Go Shop Provision; Going Private Transaction; Leveraged Buy Out (LBO)</t>
  </si>
  <si>
    <t>Skaylink GmbH</t>
  </si>
  <si>
    <t>Vodafone Group Public Limited Company (LSE:VOD)</t>
  </si>
  <si>
    <t>Waterland Private Equity Investments BV</t>
  </si>
  <si>
    <t>IQTR1968065777</t>
  </si>
  <si>
    <t>Cyber Com Co., Ltd.</t>
  </si>
  <si>
    <t>IQTR1868567569</t>
  </si>
  <si>
    <t>Ascent, LLC</t>
  </si>
  <si>
    <t>WESCO International, Inc. (NYSE:WCC)</t>
  </si>
  <si>
    <t>IQTR1902619677</t>
  </si>
  <si>
    <t>Plus Alpha Consulting Co.,Ltd. (TSE:4071)</t>
  </si>
  <si>
    <t>TSE:4071</t>
  </si>
  <si>
    <t>Rakus Co., Ltd. (TSE:3923)</t>
  </si>
  <si>
    <t>Oasis Management Company Ltd.; Oasis Capital Partners (Texas) Inc.</t>
  </si>
  <si>
    <t>IQTR2010436780</t>
  </si>
  <si>
    <t>DecisionPoint Systems, Inc.</t>
  </si>
  <si>
    <t>Barcoding, Inc.</t>
  </si>
  <si>
    <t>IQTR1879611732</t>
  </si>
  <si>
    <t>Cipal Schaubroeck NV</t>
  </si>
  <si>
    <t>Total Specific Solutions (TSS) B.V.</t>
  </si>
  <si>
    <t>Cipal dv</t>
  </si>
  <si>
    <t>IQTR1916609504</t>
  </si>
  <si>
    <t>Oy Samlink AB</t>
  </si>
  <si>
    <t>Kyndryl Holdings, Inc. (NYSE:KD)</t>
  </si>
  <si>
    <t>Cognizant Technology Solutions Corporation (NasdaqGS:CTSH)</t>
  </si>
  <si>
    <t>IQTR1759303018</t>
  </si>
  <si>
    <t>Hut 8 Mining Corp.</t>
  </si>
  <si>
    <t>Hut 8 Corp. (NasdaqGS:HUT)</t>
  </si>
  <si>
    <t>Trinity Capital Inc. (NYSE:TRIN)</t>
  </si>
  <si>
    <t>IQTR1824931185</t>
  </si>
  <si>
    <t>Acquisition of Majority Stake; Cross-Border; Merger of Equals; Reverse Merger-Other; Stock Merger</t>
  </si>
  <si>
    <t>Shinez I.O Ltd</t>
  </si>
  <si>
    <t>Team Internet Group plc (AIM:TIG)</t>
  </si>
  <si>
    <t>IQTR1875181518</t>
  </si>
  <si>
    <t>Acquisition of Majority Stake; Cash Merger; Cross-Border; Earnout Payments</t>
  </si>
  <si>
    <t>DLH, LLC</t>
  </si>
  <si>
    <t>DLH Holdings Corp. (NasdaqCM:DLHC)</t>
  </si>
  <si>
    <t>IQTR1818243642</t>
  </si>
  <si>
    <t>Cango Inc. (NYSE:CANG)</t>
  </si>
  <si>
    <t>NYSE:CANG</t>
  </si>
  <si>
    <t>Enduring Wealth Capital Limited</t>
  </si>
  <si>
    <t>IQTR1935250186</t>
  </si>
  <si>
    <t>B3 Consulting Group AB (publ) (OM:B3)</t>
  </si>
  <si>
    <t>OM:B3</t>
  </si>
  <si>
    <t>Hvaler Invest As</t>
  </si>
  <si>
    <t>IQTR1826884014</t>
  </si>
  <si>
    <t>Beijing Si-Tech Information Technology Co., Ltd. (SZSE:300608)</t>
  </si>
  <si>
    <t>SZSE:300608</t>
  </si>
  <si>
    <t>Yunxin Shuwang (Shanghai) Investment Co., Ltd.</t>
  </si>
  <si>
    <t>IQTR1865249514</t>
  </si>
  <si>
    <t>Microdesk, Inc.</t>
  </si>
  <si>
    <t>IQTR1773108328</t>
  </si>
  <si>
    <t>diva-e Digital Value Excellence GmbH</t>
  </si>
  <si>
    <t>Conclusion B.V.</t>
  </si>
  <si>
    <t>EMERAM Capital Partners GmbH</t>
  </si>
  <si>
    <t>IQTR1884084103</t>
  </si>
  <si>
    <t>Acquisition of Majority Stake; Cash Merger; Cross-Border; Terms Not Disclosed</t>
  </si>
  <si>
    <t>Srlabs Risk Tank GmbH</t>
  </si>
  <si>
    <t>Aiuken Solutions, S.L.</t>
  </si>
  <si>
    <t>IQTR1872174356</t>
  </si>
  <si>
    <t>Hanil Networks Co., Ltd.</t>
  </si>
  <si>
    <t>UBASE INC.</t>
  </si>
  <si>
    <t>Hanil Holdings Co., Ltd. (KOSE:A003300)</t>
  </si>
  <si>
    <t>IQTR1773528769</t>
  </si>
  <si>
    <t>Tripwire, Inc.</t>
  </si>
  <si>
    <t>Fortra, LLC</t>
  </si>
  <si>
    <t>Belden Inc. (NYSE:BDC)</t>
  </si>
  <si>
    <t>IQTR1770405432</t>
  </si>
  <si>
    <t>PQR B.V.</t>
  </si>
  <si>
    <t>Intersaction</t>
  </si>
  <si>
    <t>IQTR1782101095</t>
  </si>
  <si>
    <t>MEEZA QSTP-LLC (Public) (DSM:MEZA)</t>
  </si>
  <si>
    <t>DSM:MEZA</t>
  </si>
  <si>
    <t>Fiera Capital (UK) Limited</t>
  </si>
  <si>
    <t>Ooredoo Q.P.S.C. (DSM:ORDS)</t>
  </si>
  <si>
    <t>IQTR1961010851</t>
  </si>
  <si>
    <t>IQTR1787599312</t>
  </si>
  <si>
    <t>Relatech S.p.A.</t>
  </si>
  <si>
    <t>BU Bregal Unternehmerkapital AG</t>
  </si>
  <si>
    <t>IQTR1885569172</t>
  </si>
  <si>
    <t>Valiantys Group SAS</t>
  </si>
  <si>
    <t>Keensight Capital</t>
  </si>
  <si>
    <t>IQTR1781536486</t>
  </si>
  <si>
    <t>Acquisition of Majority Stake; Leveraged Buy Out (LBO); Management Buyout; Management Participated; Platform; Terms Not Disclosed</t>
  </si>
  <si>
    <t>Epsilon Net S.A.</t>
  </si>
  <si>
    <t>General Atlantic Ginger B.V.</t>
  </si>
  <si>
    <t>Barca Capital, LLC</t>
  </si>
  <si>
    <t>IQTR1879413975</t>
  </si>
  <si>
    <t>Acquisition of Minority Stake; Cross-Border; Squeeze Out / Short Form Merger; Tender Offer; Tender Offer (Full Bid)</t>
  </si>
  <si>
    <t>Ideagen Limited</t>
  </si>
  <si>
    <t>HG Pooled Management Ltd</t>
  </si>
  <si>
    <t>IQTR1782101755</t>
  </si>
  <si>
    <t>Si&amp;C Co.,Ltd.</t>
  </si>
  <si>
    <t>Bain Capital Private Equity, LP</t>
  </si>
  <si>
    <t>IQTR1857264151</t>
  </si>
  <si>
    <t>Acquisition of Majority Stake; Cash Merger; Cross-Border; Going Private Transaction; Leveraged Buy Out (LBO); Management Buyout; Management Participated; Tender Offer; Tender Offer (Full Bid)</t>
  </si>
  <si>
    <t>Logility Supply Chain Solutions, Inc.</t>
  </si>
  <si>
    <t>Aptean, Inc.</t>
  </si>
  <si>
    <t>BlackRock, Inc. (NYSE:BLK); The Vanguard Group, Inc.; Glazer Capital, LLC; 2717 Partners LP</t>
  </si>
  <si>
    <t>IQTR1918430905</t>
  </si>
  <si>
    <t>TA Associates Management, L.P.</t>
  </si>
  <si>
    <t>IQTR1942578879</t>
  </si>
  <si>
    <t>Nearmap Australia Pty Ltd</t>
  </si>
  <si>
    <t>IQTR1796783204</t>
  </si>
  <si>
    <t>Quinnox Inc.</t>
  </si>
  <si>
    <t>Everforth, Inc. (NYSE:EFOR)</t>
  </si>
  <si>
    <t>IQTR1978963876</t>
  </si>
  <si>
    <t>Magnet Forensics Inc.</t>
  </si>
  <si>
    <t>Nellore Capital Management LLC</t>
  </si>
  <si>
    <t>IQTR1823055425</t>
  </si>
  <si>
    <t>Hyundai Ezwel Co.,Ltd. (KOSDAQ:A090850)</t>
  </si>
  <si>
    <t>KOSDAQ:A090850</t>
  </si>
  <si>
    <t>Hyundai G.F. Holdings Co., Ltd. (KOSE:A005440)</t>
  </si>
  <si>
    <t>IQTR1903663210</t>
  </si>
  <si>
    <t>Zwsoft Co.,Ltd. (SHSE:688083)</t>
  </si>
  <si>
    <t>SHSE:688083</t>
  </si>
  <si>
    <t>Barclays Bank Plc; China Galaxy Securities Co., Ltd. (SEHK:6881); Schroder Investment Management (Hong Kong) Ltd.; J.P. Morgan Securities plc; AEGON-Industrial Fund Management Co. Ltd.; Nuode Asset Management Co., Ltd.; UBS AG; Shanghai Danyi Investment Management Partnership Enterprise (General Partnership); Shanghai Ruiyi Investment Development Center (Limited Partnership); Nanjing Century Hengyuan Investment Co., Ltd.; Shenzhen Eternal Grand Investment Management Co., Ltd.; Beijing Renaissance Era Investment Management Co., Ltd.; Fedge Capital Co., Ltd.; Ningbo Caixiawan Investment Management Partnership Enterprise (Limited Partnership)</t>
  </si>
  <si>
    <t>Fortune Venture Capital Co., Ltd.; Shenzhen Dachen Caizhi Venture Capital Management Co., Ltd.; Xiamen Leijun Investment Partnership Enterprise (Limited Partnership); Xiamen Mengze Investment Consulting Partnership Enterprise (Limited Partnership); Xiamen Senxi Investment Partnership Enterprise (Limited Partnership); Xiamen Shuoyu Investment Partnership Enterprise (Limited Partnership)</t>
  </si>
  <si>
    <t>IQTR1787489906</t>
  </si>
  <si>
    <t>Secure Solutions and Services (SSS) business of Capita plc</t>
  </si>
  <si>
    <t>NEC Software Solutions UK Limited</t>
  </si>
  <si>
    <t>Capita plc (LSE:CPI)</t>
  </si>
  <si>
    <t>IQTR1683584647</t>
  </si>
  <si>
    <t>Pagero Group AB (publ)</t>
  </si>
  <si>
    <t>Thomson Reuters Finance S.A.</t>
  </si>
  <si>
    <t>Avalara, Inc.; Gosocket Corporation SA; Summa Equity AB; Vålåuggen Invest AB</t>
  </si>
  <si>
    <t>IQTR1868073818</t>
  </si>
  <si>
    <t>Leon Technology Co., Ltd. (SZSE:300603)</t>
  </si>
  <si>
    <t>SZSE:300603</t>
  </si>
  <si>
    <t>Tianjin Hongrui Management Consulting Co., Ltd.</t>
  </si>
  <si>
    <t>IQTR1882478378</t>
  </si>
  <si>
    <t>Infomedia Ltd</t>
  </si>
  <si>
    <t>TPG Growth Capital Asia Limited</t>
  </si>
  <si>
    <t>IQTR1955836407</t>
  </si>
  <si>
    <t>Intelliswift Software, Inc.</t>
  </si>
  <si>
    <t>L&amp;T Technology Services LLC</t>
  </si>
  <si>
    <t>IQTR1903669784</t>
  </si>
  <si>
    <t>TES Power Ltd</t>
  </si>
  <si>
    <t>Legrand SA (ENXTPA:LR)</t>
  </si>
  <si>
    <t>IQTR1992812351</t>
  </si>
  <si>
    <t>HDI SYD1 Holdings Pty Limited</t>
  </si>
  <si>
    <t>HMC Capital Limited (ASX:HMC)</t>
  </si>
  <si>
    <t>Global Switch Holdings Limited</t>
  </si>
  <si>
    <t>IQTR1901853830</t>
  </si>
  <si>
    <t>Northern Data AG (MUN:NB2)</t>
  </si>
  <si>
    <t>MUN:NB2</t>
  </si>
  <si>
    <t>RUM Group Inc. (NasdaqGM:RUM)</t>
  </si>
  <si>
    <t>Apeiron Investment Group Limited; Tether Inc.</t>
  </si>
  <si>
    <t>IQTR1956358173</t>
  </si>
  <si>
    <t>Generix SA</t>
  </si>
  <si>
    <t>New Gen Holding SAS</t>
  </si>
  <si>
    <t>IQTR1793396281</t>
  </si>
  <si>
    <t>Acquisition of Majority Stake; Minority Shareholder Gaining Majority Control; Minority Shareholder Increasing Ownership Stake; Tender Offer; Tender Offer (Partial Bid)</t>
  </si>
  <si>
    <t>IQTR1793382297</t>
  </si>
  <si>
    <t>asknet GmbH</t>
  </si>
  <si>
    <t>Good Cause Capital S.A.</t>
  </si>
  <si>
    <t>Two Partners Group LLC.</t>
  </si>
  <si>
    <t>IQTR1765445051</t>
  </si>
  <si>
    <t>Garage Italia Finance S.A R.L.</t>
  </si>
  <si>
    <t>IQTR1762643551</t>
  </si>
  <si>
    <t>Algar TI Consultoria S.A.</t>
  </si>
  <si>
    <t>Positivo SMART Tecnologia LTDA</t>
  </si>
  <si>
    <t>Algar S/A</t>
  </si>
  <si>
    <t>IQTR1875185684</t>
  </si>
  <si>
    <t>Beijing VRV Software Corporation Limited (SZSE:300352)</t>
  </si>
  <si>
    <t>SZSE:300352</t>
  </si>
  <si>
    <t>IQTR1878463109</t>
  </si>
  <si>
    <t>21 Grams AB</t>
  </si>
  <si>
    <t>PostNord Strålfors AB</t>
  </si>
  <si>
    <t>IQTR1887264869</t>
  </si>
  <si>
    <t>Acquisition of Majority Stake; Corporate Divestiture</t>
  </si>
  <si>
    <t>Reward Loyalty UK Limited</t>
  </si>
  <si>
    <t>Rezolve AI PLC (NasdaqGM:RZLV)</t>
  </si>
  <si>
    <t>IQTR1983628659</t>
  </si>
  <si>
    <t>Beta Cae Systems International AG</t>
  </si>
  <si>
    <t>IQTR1873519208</t>
  </si>
  <si>
    <t>R&amp;D Computer Co.,Ltd.</t>
  </si>
  <si>
    <t>Toho System Science Co., Ltd.</t>
  </si>
  <si>
    <t>Fukushima Sangyou Corporation; Y.K. Sanpo</t>
  </si>
  <si>
    <t>IQTR2000101216</t>
  </si>
  <si>
    <t>TSR, Inc.</t>
  </si>
  <si>
    <t>Zeff Holding Company, LLC; Qar Industries, Inc.</t>
  </si>
  <si>
    <t>IQTR1881209438</t>
  </si>
  <si>
    <t>Acquisition of Majority Stake; Cash Merger; Going Private Transaction; Individual Investors Participated; Leveraged Buy Out (LBO); Squeeze Out / Short Form Merger; Tender Offer; Tender Offer (Full Bid)</t>
  </si>
  <si>
    <t>Crealogix Holding AG</t>
  </si>
  <si>
    <t>Vencora UK Limited</t>
  </si>
  <si>
    <t>IQTR1862036455</t>
  </si>
  <si>
    <t>Over The Wire Holdings Limited</t>
  </si>
  <si>
    <t>Weiss Asset Management, LLC; Weiss Asset Management LP; Wam GP LLC</t>
  </si>
  <si>
    <t>IQTR1686055260</t>
  </si>
  <si>
    <t>Verimatrix SA (ENXTPA:VMX)</t>
  </si>
  <si>
    <t>ENXTPA:VMX</t>
  </si>
  <si>
    <t>IQTR1775662190</t>
  </si>
  <si>
    <t>Tecnos Japan Incorporated</t>
  </si>
  <si>
    <t>Ant Capital Partners Co., Ltd.</t>
  </si>
  <si>
    <t>Asset Value Investors Limited; NS INC.</t>
  </si>
  <si>
    <t>IQTR1930066296</t>
  </si>
  <si>
    <t>Acquisition of Majority Stake; Going Private Transaction; Leveraged Buy Out (LBO); Minority Shareholder Gaining Majority Control; Minority Shareholder Increasing Ownership Stake; Tender Offer; Tender Offer (Full Bid)</t>
  </si>
  <si>
    <t>MemRAY BT Co., LTD. (KOSDAQ:A072770)</t>
  </si>
  <si>
    <t>KOSDAQ:A072770</t>
  </si>
  <si>
    <t>KCB Group Co., Ltd.</t>
  </si>
  <si>
    <t>ENPLUS Co., Ltd. (KOSE:A074610)</t>
  </si>
  <si>
    <t>IQTR1931575848</t>
  </si>
  <si>
    <t>Creative Breakthroughs Inc.</t>
  </si>
  <si>
    <t>IQTR1776598444</t>
  </si>
  <si>
    <t>Navegate, Inc.</t>
  </si>
  <si>
    <t>Radiant Logistics, Inc. (NYSEAM:RLGT)</t>
  </si>
  <si>
    <t>Relay Investments; Next Coast Ventures, LLC; The Operand Group</t>
  </si>
  <si>
    <t>IQTR1760677099</t>
  </si>
  <si>
    <t>ClearSale S.A.</t>
  </si>
  <si>
    <t>Serasa S.A.</t>
  </si>
  <si>
    <t>Modal Asset Management Ltda.; Innova Capital S.A.</t>
  </si>
  <si>
    <t>IQTR1899716376</t>
  </si>
  <si>
    <t>Tesserent Limited</t>
  </si>
  <si>
    <t>Thales Australia Holdings Pty Ltd</t>
  </si>
  <si>
    <t>IQTR1843130432</t>
  </si>
  <si>
    <t>Qoria Limited</t>
  </si>
  <si>
    <t>Aura Sub, LLC</t>
  </si>
  <si>
    <t>IQTR1981937796</t>
  </si>
  <si>
    <t>Innofactor Oyj</t>
  </si>
  <si>
    <t>CapMan Oyj (HLSE:CAPMAN); Osprey Capital Oy</t>
  </si>
  <si>
    <t>IQTR1888508443</t>
  </si>
  <si>
    <t>Acquisition of Majority Stake; Cash Merger; Going Private Transaction; Management Participated; Minority Shareholder Increasing Ownership Stake; Squeeze Out / Short Form Merger; Tender Offer; Tender Offer (Full Bid)</t>
  </si>
  <si>
    <t>Mercell Holding ASA</t>
  </si>
  <si>
    <t>Viking Growth; Luxor Capital Group, LP</t>
  </si>
  <si>
    <t>IQTR1784687409</t>
  </si>
  <si>
    <t>Xinyu High-tech Zone Zerun Investment Management Co., Ltd.</t>
  </si>
  <si>
    <t>IQTR1847295975</t>
  </si>
  <si>
    <t>Stronghold Digital Mining, Inc.</t>
  </si>
  <si>
    <t>Backbone Mining Solutions LLC</t>
  </si>
  <si>
    <t>Continental General Insurance Company; Armistice Capital LLC; Beryl Capital Management LLC; Q Power Llc</t>
  </si>
  <si>
    <t>IQTR1891982970</t>
  </si>
  <si>
    <t>Infusion Software, Inc.</t>
  </si>
  <si>
    <t>Thryv Holdings, Inc. (NasdaqCM:THRY)</t>
  </si>
  <si>
    <t>IQTR1902215079</t>
  </si>
  <si>
    <t>Beta Systems Software AG</t>
  </si>
  <si>
    <t>Beta Systems Software Aktiengesellschaft (DB:SPT6)</t>
  </si>
  <si>
    <t>Deutsche Balaton AG (HMSE:BBHK)</t>
  </si>
  <si>
    <t>IQTR1803441535</t>
  </si>
  <si>
    <t>Zhejiang Whyis Technology Co.,Ltd. (SZSE:301218)</t>
  </si>
  <si>
    <t>SZSE:301218</t>
  </si>
  <si>
    <t>Hangzhou Juzhun Qiming Enterprise Management Partnership Enterprise</t>
  </si>
  <si>
    <t>IQTR1980094456</t>
  </si>
  <si>
    <t>Servicios Microinformatica S.A.</t>
  </si>
  <si>
    <t>Econocom Group SE (ENXTBR:ECONB)</t>
  </si>
  <si>
    <t>IQTR1788614531</t>
  </si>
  <si>
    <t>E-Guardian Inc. (TSE:6050)</t>
  </si>
  <si>
    <t>TSE:6050</t>
  </si>
  <si>
    <t>CHANGE Holdings,Inc. (TSE:3962)</t>
  </si>
  <si>
    <t>IQTR1851018409</t>
  </si>
  <si>
    <t>Acquisition of Minority Stake; Tender Offer; Tender Offer (Partial Bid)</t>
  </si>
  <si>
    <t>Versent Pty Ltd</t>
  </si>
  <si>
    <t>Telstra Group Limited (ASX:TLS)</t>
  </si>
  <si>
    <t>Washington H. Soul Pattinson and Company Limited (ASX:SOL)</t>
  </si>
  <si>
    <t>IQTR1858812833</t>
  </si>
  <si>
    <t>AIS Anywhere, Inc.</t>
  </si>
  <si>
    <t>Blue Cloud Softech Solutions Limited (BSE:539607)</t>
  </si>
  <si>
    <t>IQTR1954970313</t>
  </si>
  <si>
    <t>Future Data Group Limited (SEHK:8229)</t>
  </si>
  <si>
    <t>SEHK:8229</t>
  </si>
  <si>
    <t>Variant Wealth Investment Development Limited; Gorgeous Real Investment Holding Limited</t>
  </si>
  <si>
    <t>LiquidTech Limited</t>
  </si>
  <si>
    <t>IQTR1800549462</t>
  </si>
  <si>
    <t>With Holdings Co., Ltd.</t>
  </si>
  <si>
    <t>Smile Holdings Inc. (TSE:7084)</t>
  </si>
  <si>
    <t>T Capital Partners Co., Ltd.; TOSHI LLC</t>
  </si>
  <si>
    <t>IQTR1993170241</t>
  </si>
  <si>
    <t>Alphatec Solutions Co., Ltd.</t>
  </si>
  <si>
    <t>Daiwabo Information System Co., Ltd.</t>
  </si>
  <si>
    <t>Mitsubishi Chemical Systems, Inc.</t>
  </si>
  <si>
    <t>IQTR1826906590</t>
  </si>
  <si>
    <t>Acquisition of Majority Stake; Corporate Divestiture; Terms Not Disclosed</t>
  </si>
  <si>
    <t>The Switch Enterprises, LLC</t>
  </si>
  <si>
    <t>Tata Communications (Netherlands) B.V.</t>
  </si>
  <si>
    <t>IQTR1819408901</t>
  </si>
  <si>
    <t>Sothis TI</t>
  </si>
  <si>
    <t>Nunsys S.L.</t>
  </si>
  <si>
    <t>Angels Capital S.L.</t>
  </si>
  <si>
    <t>IQTR1772393730</t>
  </si>
  <si>
    <t>Klanik SAS</t>
  </si>
  <si>
    <t>Alten S.A. (ENXTPA:ATE)</t>
  </si>
  <si>
    <t>IQTR2000948165</t>
  </si>
  <si>
    <t>TmaxSoft Co.,Ltd.</t>
  </si>
  <si>
    <t>Skylake Equity Partners Limited</t>
  </si>
  <si>
    <t>IQTR1762763280</t>
  </si>
  <si>
    <t>Jieyang Xingsheng Chemical Raw Materials Co., Ltd.</t>
  </si>
  <si>
    <t>IQTR1791742674</t>
  </si>
  <si>
    <t>Vertica Systems, Inc.</t>
  </si>
  <si>
    <t>Rocket Software, Inc.</t>
  </si>
  <si>
    <t>IQTR1981997752</t>
  </si>
  <si>
    <t>3Play Media, Inc.</t>
  </si>
  <si>
    <t>Verbit Inc.</t>
  </si>
  <si>
    <t>IQTR1870911540</t>
  </si>
  <si>
    <t>Quest Integrity Group, LLC</t>
  </si>
  <si>
    <t>Baker Hughes Holdings LLC</t>
  </si>
  <si>
    <t>Team, Inc. (NYSE:TISI)</t>
  </si>
  <si>
    <t>IQTR1796791586</t>
  </si>
  <si>
    <t>CIeNET Technologies</t>
  </si>
  <si>
    <t>IQTR1758745986</t>
  </si>
  <si>
    <t>Soma Papers &amp; Industries Limited</t>
  </si>
  <si>
    <t>KS Smart Technologies Limited (BSE:516038)</t>
  </si>
  <si>
    <t>IQTR1957992543</t>
  </si>
  <si>
    <t>Acquisition of Majority Stake; Reverse Merger-Other; Stock Merger</t>
  </si>
  <si>
    <t>BrainPad Inc.</t>
  </si>
  <si>
    <t>MUFG Bank, Ltd.; ITOCHU Corporation (TSE:8001); Resona Holdings, Inc. (TSE:8308); SBI Securities Co., Ltd.; Custody Bank of Japan, Ltd. (Trust Account); The Master Trust Bank of Japan, Ltd. (Trust Account); DisciPline Inc.</t>
  </si>
  <si>
    <t>IQTR1968070329</t>
  </si>
  <si>
    <t>Tao Digital Solutions Inc.</t>
  </si>
  <si>
    <t>Cyient Limited (BSE:532175)</t>
  </si>
  <si>
    <t>Anicut Capital LLP; Vesper Company</t>
  </si>
  <si>
    <t>IQTR2003065849</t>
  </si>
  <si>
    <t>Infogene SAS</t>
  </si>
  <si>
    <t>Vulcain Engineering &amp; Consulting Group, SAS</t>
  </si>
  <si>
    <t>Dentressangle SAS</t>
  </si>
  <si>
    <t>IQTR1869070314</t>
  </si>
  <si>
    <t>Acquisition of Majority Stake; Family Succession; Terms Not Disclosed</t>
  </si>
  <si>
    <t>Instem Limited</t>
  </si>
  <si>
    <t>ArchiMed SAS</t>
  </si>
  <si>
    <t>Business Growth Fund Limited</t>
  </si>
  <si>
    <t>IQTR1854150211</t>
  </si>
  <si>
    <t>Bigtincan Holdings Pty Ltd</t>
  </si>
  <si>
    <t>Vector Capital Management, L.P.</t>
  </si>
  <si>
    <t>Regal Partners Limited (ASX:RPL); SQN Investors LP</t>
  </si>
  <si>
    <t>IQTR1884442754</t>
  </si>
  <si>
    <t>Smaregi, Inc. (TSE:4431)</t>
  </si>
  <si>
    <t>TSE:4431</t>
  </si>
  <si>
    <t>Podobas Global Investments</t>
  </si>
  <si>
    <t>IQTR1946124793</t>
  </si>
  <si>
    <t>OAKLEY EKOBID, SL</t>
  </si>
  <si>
    <t>Cegid Group SA</t>
  </si>
  <si>
    <t>Oakley Capital Limited; Oakley Capital Management Limited</t>
  </si>
  <si>
    <t>IQTR1793277977</t>
  </si>
  <si>
    <t>Acquisition of Majority Stake; Cross-Border; Equity Reinvestment; Terms Not Disclosed</t>
  </si>
  <si>
    <t>FASTNET Reseaux &amp; Telecom</t>
  </si>
  <si>
    <t>S.A.S. Foliateam</t>
  </si>
  <si>
    <t>IQTR1889183346</t>
  </si>
  <si>
    <t>Hengxin Shambala Culture Co.,Ltd. (SZSE:300081)</t>
  </si>
  <si>
    <t>SZSE:300081</t>
  </si>
  <si>
    <t>IQTR1837935006</t>
  </si>
  <si>
    <t>Sonnick Partners LLC</t>
  </si>
  <si>
    <t>Mphasis Corporation</t>
  </si>
  <si>
    <t>Pamlico Capital Management, LP</t>
  </si>
  <si>
    <t>IQTR1858957408</t>
  </si>
  <si>
    <t>TOPSOLID SAS</t>
  </si>
  <si>
    <t>Crédit Mutuel Equity SCR</t>
  </si>
  <si>
    <t>IQTR1904659440</t>
  </si>
  <si>
    <t>Cadac Group B.V.</t>
  </si>
  <si>
    <t>Bencis Capital Partners B.V.</t>
  </si>
  <si>
    <t>Industriebank Liof NV; Twinport B.V.</t>
  </si>
  <si>
    <t>IQTR1960690745</t>
  </si>
  <si>
    <t>CrashPlan Group LLC</t>
  </si>
  <si>
    <t>Mill Point Capital LLC</t>
  </si>
  <si>
    <t>Code42 Software, Inc.</t>
  </si>
  <si>
    <t>IQTR1794252226</t>
  </si>
  <si>
    <t>Mamezo Co., Ltd.</t>
  </si>
  <si>
    <t>EQT AB (publ) (OM:EQT)</t>
  </si>
  <si>
    <t>IQTR1980671147</t>
  </si>
  <si>
    <t>Acquisition of Minority Stake; Cross-Border; Squeeze Out / Short Form Merger; Tender Offer; Tender Offer (Partial Bid)</t>
  </si>
  <si>
    <t>HR Team</t>
  </si>
  <si>
    <t>Scalian SAS</t>
  </si>
  <si>
    <t>B &amp; Capital</t>
  </si>
  <si>
    <t>IQTR1800805779</t>
  </si>
  <si>
    <t>Estore Corporation</t>
  </si>
  <si>
    <t>Japan Growth Investments Alliance, Inc.</t>
  </si>
  <si>
    <t>IQTR1914448998</t>
  </si>
  <si>
    <t>Acquisition of Majority Stake; Leveraged Buy Out (LBO); Tender Offer; Tender Offer (Partial Bid)</t>
  </si>
  <si>
    <t>Cirrus Networks Holdings Limited</t>
  </si>
  <si>
    <t>Atturra Limited (ASX:ATA)</t>
  </si>
  <si>
    <t>Supervised Investments Australia Limited; Microequities Asset Management Pty Limited; H&amp;G High Conviction Limited (ASX:HCF)</t>
  </si>
  <si>
    <t>IQTR1855499083</t>
  </si>
  <si>
    <t>Nozomi Networks Inc.</t>
  </si>
  <si>
    <t>Mitsubishi Electric Corporation (TSE:6503)</t>
  </si>
  <si>
    <t>In-Q-Tel, Inc.; Lux Capital Management, LLC; Granite Asia; Triangle Peak Partners, LP; CDP Venture Capital SGR S.p.A.; Honeywell Ventures; Invenergy LLC, Investment Arm; Porsche Ventures GmbH; Telefónica Innovation Ventures, Inc.; Energize Ventures LLC</t>
  </si>
  <si>
    <t>IQTR1960001017</t>
  </si>
  <si>
    <t>Acquisition of Majority Stake; Cash Merger; Cross-Border; Minority Shareholder Increasing Ownership Stake; Minority Shareholder Purchasing Remaining Shares</t>
  </si>
  <si>
    <t>EQS Group GmbH</t>
  </si>
  <si>
    <t>IQTR1862134825</t>
  </si>
  <si>
    <t>Acquisition of Majority Stake; Cross-Border; Equity Reinvestment; Going Private Transaction; Leveraged Buy Out (LBO); Minority Shareholder Increasing Ownership Stake; Minority Shareholder Purchasing Remaining Shares; Platform; Tender Offer; Tender Offer (Full Bid)</t>
  </si>
  <si>
    <t>Solidabis Solutions Oy</t>
  </si>
  <si>
    <t>Visma Consulting Oy</t>
  </si>
  <si>
    <t>IQTR1814793386</t>
  </si>
  <si>
    <t>TAS Tecnologia Avanzata dei Sistemi S.p.A.</t>
  </si>
  <si>
    <t>IQTR1685811914</t>
  </si>
  <si>
    <t>Sidetrade SA (ENXTPA:ALBFR)</t>
  </si>
  <si>
    <t>ENXTPA:ALBFR</t>
  </si>
  <si>
    <t>IQTR1991540124</t>
  </si>
  <si>
    <t>Ottogrid</t>
  </si>
  <si>
    <t>Cohere Inc.</t>
  </si>
  <si>
    <t>IQTR1944076010</t>
  </si>
  <si>
    <t>Softcell Technologies Global Private Limited</t>
  </si>
  <si>
    <t>HDFC Investments Ltd.</t>
  </si>
  <si>
    <t>IQTR1827767703</t>
  </si>
  <si>
    <t>Thinkex Holdings Pty Ltd</t>
  </si>
  <si>
    <t>Advent Partners</t>
  </si>
  <si>
    <t>Alceon Private Equity</t>
  </si>
  <si>
    <t>IQTR1965862879</t>
  </si>
  <si>
    <t>Acquisition of Majority Stake; Leveraged Buy Out (LBO); Secondary LBO; Terms Not Disclosed</t>
  </si>
  <si>
    <t>Sinosoft Technology Group Limited</t>
  </si>
  <si>
    <t>Alibaba.com Limited</t>
  </si>
  <si>
    <t>IQTR1865273952</t>
  </si>
  <si>
    <t>Acquisition of Majority Stake; Cash Merger; Going Private Transaction; Individual Investors Participated; Leveraged Buy Out (LBO); Minority Shareholder Increasing Ownership Stake; Minority Shareholder Purchasing Remaining Shares</t>
  </si>
  <si>
    <t>EBP Informatique</t>
  </si>
  <si>
    <t>IQTR1888395258</t>
  </si>
  <si>
    <t>Zafin Labs Americas Incorporated</t>
  </si>
  <si>
    <t>Beedie Investments Ltd.; Vistara Growth; Accenture Ventures Limited; Kayne Partners</t>
  </si>
  <si>
    <t>IQTR1884452416</t>
  </si>
  <si>
    <t>Acquisition of Majority Stake; Cross-Border; Equity Reinvestment; Leveraged Buy Out (LBO); Management Participated; Terms Not Disclosed</t>
  </si>
  <si>
    <t>National Bank of Greece S.A. (ATSE:ETE)</t>
  </si>
  <si>
    <t>IQTR1837026727</t>
  </si>
  <si>
    <t>Bingo Software Co., Ltd. (SHSE:688227)</t>
  </si>
  <si>
    <t>SHSE:688227</t>
  </si>
  <si>
    <t>Xiamen Jiangyuan Juxin Information Consulting Partnership (Limited Partnership); Xiamen Jiangxin Original Core Technology Development Partnership (Limited Partnership)</t>
  </si>
  <si>
    <t>Beijing Shanggao Enterprise Management Co., Ltd.</t>
  </si>
  <si>
    <t>IQTR1982564037</t>
  </si>
  <si>
    <t>Nitro Software Limited</t>
  </si>
  <si>
    <t>HarbourVest Partners, LLC; Potentia Capital Pty. Ltd.</t>
  </si>
  <si>
    <t>Battery Ventures L.P.; Australian Super Pty Ltd; TIGA Trading Pty Ltd; Spheria Asset Management Pty Ltd; National Nominees Ltd ACF Australian Ethical Investment Ltd</t>
  </si>
  <si>
    <t>IQTR1798769505</t>
  </si>
  <si>
    <t>Acquisition of Majority Stake; Cash Merger; Cross-Border; Going Private Transaction; Leveraged Buy Out (LBO); Minority Shareholder Increasing Ownership Stake; Squeeze Out / Short Form Merger; Tender Offer; Tender Offer (Full Bid)</t>
  </si>
  <si>
    <t>PiPEDO HD, Inc.</t>
  </si>
  <si>
    <t>Advantage Partners, Inc.</t>
  </si>
  <si>
    <t>IQTR1683591199</t>
  </si>
  <si>
    <t>Thomas Publishing Company, LLC</t>
  </si>
  <si>
    <t>Xometry, Inc. (NasdaqGS:XMTR)</t>
  </si>
  <si>
    <t>IQTR1760894121</t>
  </si>
  <si>
    <t>MERITIS GROUP, SAS</t>
  </si>
  <si>
    <t>iXO Private Equity; Société Générale Capital Partenaires SAS, SCR</t>
  </si>
  <si>
    <t>IQTR1821814599</t>
  </si>
  <si>
    <t>Mentormate, LLC</t>
  </si>
  <si>
    <t>Taylor Corporation</t>
  </si>
  <si>
    <t>IQTR1848569634</t>
  </si>
  <si>
    <t>Nixu Oyj</t>
  </si>
  <si>
    <t>DNV AS</t>
  </si>
  <si>
    <t>IQTR1826365843</t>
  </si>
  <si>
    <t>E.Novation Group B.V.</t>
  </si>
  <si>
    <t>Tynetec Ltd.</t>
  </si>
  <si>
    <t>Main Capital Partners B.V.</t>
  </si>
  <si>
    <t>IQTR1878904417</t>
  </si>
  <si>
    <t>InformEtica Consulting srl</t>
  </si>
  <si>
    <t>Var One S.r.l.</t>
  </si>
  <si>
    <t>IQTR1841361900</t>
  </si>
  <si>
    <t>Ennova SPA</t>
  </si>
  <si>
    <t>TXT e-solutions S.p.A. (BIT:TXT)</t>
  </si>
  <si>
    <t>IQTR1788870478</t>
  </si>
  <si>
    <t>Chuo System Corporation</t>
  </si>
  <si>
    <t>Basic Capital Management, Limited</t>
  </si>
  <si>
    <t>TISI Inc. (TSE:3626)</t>
  </si>
  <si>
    <t>IQTR1684969396</t>
  </si>
  <si>
    <t>MRE Consulting, Ltd.</t>
  </si>
  <si>
    <t>Infosys Nova Holdings LLC</t>
  </si>
  <si>
    <t>IQTR1940031057</t>
  </si>
  <si>
    <t>Copperleaf Technologies Inc.</t>
  </si>
  <si>
    <t>Industrial and Financial Systems, IFS AB</t>
  </si>
  <si>
    <t>PenderFund Capital Management Ltd.</t>
  </si>
  <si>
    <t>IQTR1884474283</t>
  </si>
  <si>
    <t>Acquisition of Majority Stake; Cash Merger; Consolidation/Roll Up; Cross-Border</t>
  </si>
  <si>
    <t>Euna Solutions, Inc.</t>
  </si>
  <si>
    <t>GI Manager L.P.</t>
  </si>
  <si>
    <t>Conifer Management, LLC; Beryl Capital Management LLC; Terrapin Station LLC</t>
  </si>
  <si>
    <t>IQTR1781066046</t>
  </si>
  <si>
    <t>ELMO Software Limited</t>
  </si>
  <si>
    <t>K1 Investment Management, LLC</t>
  </si>
  <si>
    <t>Cooper Investors Pty Limited; JLAB Investments (No. 2) Pty Ltd; Garber Family Trust; Cox Aus Super Investments Pty Ltd; Lessem Trading Pty Ltd</t>
  </si>
  <si>
    <t>IQTR1806048492</t>
  </si>
  <si>
    <t>Acquisition of Majority Stake; Cash Merger; Cross-Border; Going Private Transaction; Leveraged Buy Out (LBO); Tender Offer; Tender Offer (Full Bid)</t>
  </si>
  <si>
    <t>Pinming Technology Co., Ltd. (SHSE:688109)</t>
  </si>
  <si>
    <t>SHSE:688109</t>
  </si>
  <si>
    <t>Tongzhi Qingyan (Beijing) Technology Industry Development Partnership (Limited Partnership)</t>
  </si>
  <si>
    <t>Xinyu Lingshunling Venture Capital Partnership Enterprise (L.P.)</t>
  </si>
  <si>
    <t>IQTR1972061045</t>
  </si>
  <si>
    <t>Ruihe Data Technology Holdings Limited (SEHK:3680)</t>
  </si>
  <si>
    <t>SEHK:3680</t>
  </si>
  <si>
    <t>Mindas Touch Global Limited</t>
  </si>
  <si>
    <t>IQTR1765500719</t>
  </si>
  <si>
    <t>Gresham Technologies Limited</t>
  </si>
  <si>
    <t>Herald Investment Trust PLC (LSE:HRI); Herald Investment Management Ltd.; Amati Global Investors Ltd.; Schroder Investment Management Limited; J O Hambro Capital Management Limited; Kestrel Partners LLP</t>
  </si>
  <si>
    <t>IQTR1877619573</t>
  </si>
  <si>
    <t>Maxive CYBERSECURITY</t>
  </si>
  <si>
    <t>Bright Pixel Capital</t>
  </si>
  <si>
    <t>IQTR1783540961</t>
  </si>
  <si>
    <t>Grupo S21sec Gestión, S.A./Excellium Services Group</t>
  </si>
  <si>
    <t>IQTR1814616304</t>
  </si>
  <si>
    <t>Winner Technology Co., Inc. (SZSE:300609)</t>
  </si>
  <si>
    <t>SZSE:300609</t>
  </si>
  <si>
    <t>Shanghai Liangyuan Asset Management Co., Ltd.</t>
  </si>
  <si>
    <t>IQTR1814759644</t>
  </si>
  <si>
    <t>CoreCard Corporation</t>
  </si>
  <si>
    <t>Euronet Worldwide, Inc. (NasdaqGS:EEFT)</t>
  </si>
  <si>
    <t>IQTR1955176754</t>
  </si>
  <si>
    <t>Kolesa Group</t>
  </si>
  <si>
    <t>Joint Stock Company Kaspi.kz (NasdaqGS:KSPI)</t>
  </si>
  <si>
    <t>Krysha &amp; Kolesa Holding B.V.</t>
  </si>
  <si>
    <t>IQTR1848917910</t>
  </si>
  <si>
    <t>Metrofile Holdings Limited</t>
  </si>
  <si>
    <t>Project Sauter Proprietary Limited</t>
  </si>
  <si>
    <t>Sabvest Finance and Guarantee Corporation Proprietary Limited</t>
  </si>
  <si>
    <t>IQTR1883416548</t>
  </si>
  <si>
    <t>Finger, Inc. (KOSDAQ:A163730)</t>
  </si>
  <si>
    <t>KOSDAQ:A163730</t>
  </si>
  <si>
    <t>Montana 40</t>
  </si>
  <si>
    <t>IQTR1998840464</t>
  </si>
  <si>
    <t>IQTR1800478990</t>
  </si>
  <si>
    <t>Acquisition of Minority Stake; Earnout Payments; Majority Shareholder Increasing Ownership Stake; Majority Shareholder Purchasing Remaining Shares</t>
  </si>
  <si>
    <t>Synapsis Group</t>
  </si>
  <si>
    <t>MSRCosmos LLC</t>
  </si>
  <si>
    <t>IQTR1775256170</t>
  </si>
  <si>
    <t>Techlabs Co., Ltd.</t>
  </si>
  <si>
    <t>Metacare Co., Ltd</t>
  </si>
  <si>
    <t>IQTR2011239751</t>
  </si>
  <si>
    <t>RIS 2048 - Sistemas Informáticos e Comunicações, S.A.</t>
  </si>
  <si>
    <t>IQTR1981626306</t>
  </si>
  <si>
    <t>Avid International Limited</t>
  </si>
  <si>
    <t>Entain Plc (LSE:ENT)</t>
  </si>
  <si>
    <t>Middlebrook Investments Limited</t>
  </si>
  <si>
    <t>IQTR1770125262</t>
  </si>
  <si>
    <t>I Merit, Inc.</t>
  </si>
  <si>
    <t>ExlService Holdings, Inc. (NasdaqGS:EXLS)</t>
  </si>
  <si>
    <t>IQTR2007439747</t>
  </si>
  <si>
    <t>PT Indointernet Tbk. (IDX:EDGE)</t>
  </si>
  <si>
    <t>IDX:EDGE</t>
  </si>
  <si>
    <t>Digital Edge (Singapore) Holdings Pte. Ltd.</t>
  </si>
  <si>
    <t>IQTR1872258642</t>
  </si>
  <si>
    <t>Acquisition of Minority Stake; Cross-Border; Majority Shareholder Increasing Ownership Stake; Majority Shareholder Purchasing Remaining Shares; Terms Not Disclosed</t>
  </si>
  <si>
    <t>CES Limited</t>
  </si>
  <si>
    <t>IQTR1914425677</t>
  </si>
  <si>
    <t>Acquisition of Minority Stake; Cash Merger; Going Private Transaction; Individual Investors Participated; Majority Shareholder Increasing Ownership Stake; Majority Shareholder Purchasing Remaining Shares</t>
  </si>
  <si>
    <t>Rail business of Linbrooke Services</t>
  </si>
  <si>
    <t>Aureos Infrastructure Services Limited</t>
  </si>
  <si>
    <t>Linbrooke Services Limited</t>
  </si>
  <si>
    <t>IQTR1900840444</t>
  </si>
  <si>
    <t>Q4 Inc.</t>
  </si>
  <si>
    <t>Sumeru Equity Partners L.P.</t>
  </si>
  <si>
    <t>Information Venture Partners; Crédit Mutuel Equity SCR; First Ascent Ventures; Napier Park Financial Partners; Finsight Group, Inc.; Ten Coves Capital, LP</t>
  </si>
  <si>
    <t>IQTR1861835558</t>
  </si>
  <si>
    <t>Acquisition of Majority Stake; Cross-Border; Go Shop Provision; Going Private Transaction; Leveraged Buy Out (LBO)</t>
  </si>
  <si>
    <t>Acuant Inc.</t>
  </si>
  <si>
    <t>Audax Management Company, LLC; GB Group plc (LSE:GBG)</t>
  </si>
  <si>
    <t>Audax Management Company, LLC</t>
  </si>
  <si>
    <t>IQTR1758851268</t>
  </si>
  <si>
    <t>Acquisition of Majority Stake; Cash Merger; Cross-Border; Equity Reinvestment; Management Participated</t>
  </si>
  <si>
    <t>Allgeier IT Services GmbH</t>
  </si>
  <si>
    <t>Synova LLP</t>
  </si>
  <si>
    <t>Allgeier Public SE</t>
  </si>
  <si>
    <t>IQTR1967387486</t>
  </si>
  <si>
    <t>TheoremOne, LLC</t>
  </si>
  <si>
    <t>MediaMonks B.V.</t>
  </si>
  <si>
    <t>IQTR1783507828</t>
  </si>
  <si>
    <t>CompuGain LLC</t>
  </si>
  <si>
    <t>Unisys Corporation (NYSE:UIS)</t>
  </si>
  <si>
    <t>IQTR1761442565</t>
  </si>
  <si>
    <t>PBT Holdings Limited (JSE:PBT)</t>
  </si>
  <si>
    <t>JSE:PBT</t>
  </si>
  <si>
    <t>Pulsent OH GP Proprietary Limited</t>
  </si>
  <si>
    <t>IQTR1821630456</t>
  </si>
  <si>
    <t>Limeade, Inc.</t>
  </si>
  <si>
    <t>WebMD Health Services Group, Inc.</t>
  </si>
  <si>
    <t>TVC Capital, LLC; Australian Ethical Investment Limited (ASX:AEF); Perennial Value Management Limited; Oak HC/FT Management Company, LLC; TVC Capital Management, LLC</t>
  </si>
  <si>
    <t>IQTR1842411784</t>
  </si>
  <si>
    <t>kaonavi, inc.</t>
  </si>
  <si>
    <t>Rakus Co., Ltd. (TSE:3923); Podobas Global Investments</t>
  </si>
  <si>
    <t>IQTR1931261069</t>
  </si>
  <si>
    <t>Acquisition of Majority Stake; Cross-Border; Leveraged Buy Out (LBO); Tender Offer; Tender Offer (Partial Bid)</t>
  </si>
  <si>
    <t>Flooid Topco Limited</t>
  </si>
  <si>
    <t>Glory Global Solutions (International) Limited</t>
  </si>
  <si>
    <t>Inflexion Private Equity Partners LLP; Flooid Ebt Limited</t>
  </si>
  <si>
    <t>IQTR1866139688</t>
  </si>
  <si>
    <t>Aava Mobile Oy</t>
  </si>
  <si>
    <t>Pepperl+Fuchs GmbH</t>
  </si>
  <si>
    <t>Nexit Ventures Inc</t>
  </si>
  <si>
    <t>IQTR1680406374</t>
  </si>
  <si>
    <t>IQGEO GROUP LIMITED</t>
  </si>
  <si>
    <t>Kohlberg Kravis Roberts &amp; Co. L.P.</t>
  </si>
  <si>
    <t>Herald Investment Management Ltd.; Raymond James Wealth Management Limited; Canaccord Genuity Asset Management Limited; Marlborough Unit Trusts - Marlborough UK Micro-Cap Growth Fund; Kestrel Partners LLP; Investment Fund Services Limited</t>
  </si>
  <si>
    <t>IQTR1881055802</t>
  </si>
  <si>
    <t>Ambeon Capital PLC (COSE:TAP.N0000)</t>
  </si>
  <si>
    <t>COSE:TAP.N0000</t>
  </si>
  <si>
    <t>ARCASIA Investments &amp; Trading (Pvt) Ltd.</t>
  </si>
  <si>
    <t>IQTR1877123260</t>
  </si>
  <si>
    <t>MOQ Pty Limited</t>
  </si>
  <si>
    <t>Brennan Vdi Pty Ltd</t>
  </si>
  <si>
    <t>IQTR1796903736</t>
  </si>
  <si>
    <t>Faculty Science Limited</t>
  </si>
  <si>
    <t>Accenture plc (NYSE:ACN)</t>
  </si>
  <si>
    <t>Apax Partners LLP; Mercuri; Localglobe LLP</t>
  </si>
  <si>
    <t>IQTR1977013083</t>
  </si>
  <si>
    <t>IAR Systems Group AB (publ)</t>
  </si>
  <si>
    <t>The Qt Company Ltd.</t>
  </si>
  <si>
    <t>Aktia Fund Management Company Ltd; Aktia Nordic Small Cap; Aktia Nordic Micro Cap</t>
  </si>
  <si>
    <t>IQTR1951861532</t>
  </si>
  <si>
    <t>Fadilec Automation</t>
  </si>
  <si>
    <t>J.P. Fauche Investissements S.A.</t>
  </si>
  <si>
    <t>IQTR1904420588</t>
  </si>
  <si>
    <t>Logient Inc.</t>
  </si>
  <si>
    <t>Wepoint</t>
  </si>
  <si>
    <t>IQTR1962618940</t>
  </si>
  <si>
    <t>Almawave S.p.A.</t>
  </si>
  <si>
    <t>Almaviva S.p.A.</t>
  </si>
  <si>
    <t>IQTR1963039166</t>
  </si>
  <si>
    <t>IQTR1685519803</t>
  </si>
  <si>
    <t>Anycommerce SAS</t>
  </si>
  <si>
    <t>ChapsVision S.A.S.</t>
  </si>
  <si>
    <t>IQTR1875715509</t>
  </si>
  <si>
    <t>INFODAS Society for System Development and Information Processing mbH</t>
  </si>
  <si>
    <t>Airbus SE (ENXTPA:AIR)</t>
  </si>
  <si>
    <t>IQTR1875597651</t>
  </si>
  <si>
    <t>MariaDB plc</t>
  </si>
  <si>
    <t>Finnish Industry Investment Ltd.; European Investment Fund; Intel Capital Corporation; California Technology Ventures, LLC; Linden Advisors LP; Bullhound Capital; Alibaba Capital Partners; Open Ocean Capital Ltd.; Alibaba.com (Europe) Limited.; Lagoon Capital Ltd; Runa Capital Advisors Limited; Spintop Ventures; Linden Gp LLC; SmartFin Capital NV; ServiceNow Ventures; Open Ocean Opportunity Fund I Ky; Lakeside Travel Holding Ltd.</t>
  </si>
  <si>
    <t>IQTR1872054728</t>
  </si>
  <si>
    <t>Acquisition of Majority Stake; Cash Merger; Going Private Transaction; Leveraged Buy Out (LBO); Squeeze Out / Short Form Merger; Tender Offer; Tender Offer (Full Bid)</t>
  </si>
  <si>
    <t>AMT-SYBEX Group Ltd.</t>
  </si>
  <si>
    <t>Jonas Computing (Uk) Limited</t>
  </si>
  <si>
    <t>IQTR1762667573</t>
  </si>
  <si>
    <t>Acquisition of Majority Stake; Cash Merger; Corporate Divestiture; Cross-Border; Earnout Payments</t>
  </si>
  <si>
    <t>sedApta s.r.l.</t>
  </si>
  <si>
    <t>Elisa IndustrIQ Oy</t>
  </si>
  <si>
    <t>IQTR1900708324</t>
  </si>
  <si>
    <t>green4T Participações S.A.</t>
  </si>
  <si>
    <t>IQTR1984161306</t>
  </si>
  <si>
    <t>Gandi SAS</t>
  </si>
  <si>
    <t>Total Webhosting Solutions B.V.</t>
  </si>
  <si>
    <t>Montefiore Investment, SA</t>
  </si>
  <si>
    <t>IQTR1826862689</t>
  </si>
  <si>
    <t>Contabilizei Contabilidade Ltda</t>
  </si>
  <si>
    <t>Kaszek Management S.A.; Quona Capital Management Ltd.; Quona Capital Management LLC; Point72 Asset Management, L.P.; Point72 Private Investments, LLC</t>
  </si>
  <si>
    <t>IQTR1900633566</t>
  </si>
  <si>
    <t>TT Tecnosistemi S.p.A.</t>
  </si>
  <si>
    <t>IQTR1786873172</t>
  </si>
  <si>
    <t>Acquisition of Minority Stake; Majority Shareholder Increasing Ownership Stake</t>
  </si>
  <si>
    <t>Four Data Centers from Empresa Nacional De Telecomunicaciones S.A.</t>
  </si>
  <si>
    <t>Equinix, Inc. (NasdaqGS:EQIX)</t>
  </si>
  <si>
    <t>Empresa Nacional de Telecomunicaciones S.A. (SNSE:ENTEL)</t>
  </si>
  <si>
    <t>IQTR1774934381</t>
  </si>
  <si>
    <t>RealNetworks, Inc.</t>
  </si>
  <si>
    <t>IQTR1782203247</t>
  </si>
  <si>
    <t>Acquisition of Majority Stake; Cash Merger; Going Private Transaction; Leveraged Buy Out (LBO); Management Buyout; Management Participated; Minority Shareholder Increasing Ownership Stake; Minority Shareholder Purchasing Remaining Shares</t>
  </si>
  <si>
    <t>ATOL, OOO</t>
  </si>
  <si>
    <t>IQTR1914256068</t>
  </si>
  <si>
    <t>Catapult Systems, LLC</t>
  </si>
  <si>
    <t>Quisitive, LLC</t>
  </si>
  <si>
    <t>Csi Innovations Inc.</t>
  </si>
  <si>
    <t>IQTR1757441351</t>
  </si>
  <si>
    <t>BT Federal Inc.</t>
  </si>
  <si>
    <t>22nd Century Technologies, Inc.</t>
  </si>
  <si>
    <t>BT Group plc (LSE:BT.A)</t>
  </si>
  <si>
    <t>IQTR1977195586</t>
  </si>
  <si>
    <t>Beijing Dataway Horizon Co.,Ltd. (SZSE:301169)</t>
  </si>
  <si>
    <t>SZSE:301169</t>
  </si>
  <si>
    <t>Shenzhen Junhong Investment Management Co., Ltd.</t>
  </si>
  <si>
    <t>Shanghai Zhishu Industrial Partnership Enterprise (Limited Partnership); Shanghai Ruishu Industrial Partnership Enterprise (Limited Partnership); Shanghai Pinshu Enterprise Management Partnership Enterprise (Limited Partnership)</t>
  </si>
  <si>
    <t>IQTR1977505218</t>
  </si>
  <si>
    <t>Glassbox Ltd.</t>
  </si>
  <si>
    <t>Alicorn Limited</t>
  </si>
  <si>
    <t>Updata Management, LLC; Creditease Corp., Investment Arm; Gefen Capital; Brighton Park Capital Management, L.P.</t>
  </si>
  <si>
    <t>IQTR1881500557</t>
  </si>
  <si>
    <t>Acquisition of Majority Stake; Cash Merger; Cross-Border; Going Private Transaction; Leveraged Buy Out (LBO); Minority Shareholder Increasing Ownership Stake; Minority Shareholder Purchasing Remaining Shares</t>
  </si>
  <si>
    <t>HTT S.r.L.</t>
  </si>
  <si>
    <t>IQTR1758402185</t>
  </si>
  <si>
    <t>EcoOnline Holding AS</t>
  </si>
  <si>
    <t>Apax Partners LLP</t>
  </si>
  <si>
    <t>GLQ Holdings (UK) Ltd; Bridge Street Opportunity Advisors, L.L.C.; Stonebridge 2020 Offshore Holdings II, L.P.; Nitro Newco AS</t>
  </si>
  <si>
    <t>IQTR1785415321</t>
  </si>
  <si>
    <t>Aleda S.A.S.</t>
  </si>
  <si>
    <t>FDJ United (ENXTPA:FDJU)</t>
  </si>
  <si>
    <t>IQTR1793561034</t>
  </si>
  <si>
    <t>Nihon Ics Co.,Ltd.</t>
  </si>
  <si>
    <t>IQTR1828974006</t>
  </si>
  <si>
    <t>SessionM, Inc.</t>
  </si>
  <si>
    <t>Capillary PTE. Ltd</t>
  </si>
  <si>
    <t>Mastercard Incorporated (NYSE:MA)</t>
  </si>
  <si>
    <t>IQTR1986334864</t>
  </si>
  <si>
    <t>Shanghai Jinshi No. 1 Intelligent Technology Partnership Enterprise (Limited Partnership); Shanghai Baojinshi No. 1 Intelligent Technology Partnership Enterprise (Limited Partnership)</t>
  </si>
  <si>
    <t>IQTR1943293499</t>
  </si>
  <si>
    <r>
      <rPr>
        <sz val="8"/>
        <color indexed="17"/>
        <rFont val="Arial"/>
        <family val="2"/>
      </rPr>
      <t>*</t>
    </r>
    <r>
      <rPr>
        <sz val="8"/>
        <color indexed="8"/>
        <rFont val="Arial"/>
        <family val="2"/>
      </rPr>
      <t>Denotes proprietary information.</t>
    </r>
  </si>
  <si>
    <t>#</t>
  </si>
  <si>
    <t>Deal 1</t>
  </si>
  <si>
    <t>Deal 2</t>
  </si>
  <si>
    <t>Deal 3</t>
  </si>
  <si>
    <t>Deal 4</t>
  </si>
  <si>
    <t>Deal 5</t>
  </si>
  <si>
    <t>Deal 6</t>
  </si>
  <si>
    <t>Deal 7</t>
  </si>
  <si>
    <t>Deal 8</t>
  </si>
  <si>
    <t>Deal 9</t>
  </si>
  <si>
    <t>Deal 10</t>
  </si>
  <si>
    <t>Deal 11</t>
  </si>
  <si>
    <t>Deal 12</t>
  </si>
  <si>
    <t>Deal 13</t>
  </si>
  <si>
    <t>Deal 14</t>
  </si>
  <si>
    <t>Deal 15</t>
  </si>
  <si>
    <t>Deal 16</t>
  </si>
  <si>
    <t>Deal 17</t>
  </si>
  <si>
    <t>Deal 18</t>
  </si>
  <si>
    <t>Deal 19</t>
  </si>
  <si>
    <t>Deal 20</t>
  </si>
  <si>
    <t>Deal 21</t>
  </si>
  <si>
    <t>Deal 22</t>
  </si>
  <si>
    <t>Deal 23</t>
  </si>
  <si>
    <t>Deal 24</t>
  </si>
  <si>
    <t>Deal 25</t>
  </si>
  <si>
    <t>Deal 26</t>
  </si>
  <si>
    <t>Deal 27</t>
  </si>
  <si>
    <t>Deal 28</t>
  </si>
  <si>
    <t>Deal 29</t>
  </si>
  <si>
    <t>Deal 30</t>
  </si>
  <si>
    <t>Deal 31</t>
  </si>
  <si>
    <t>Deal 32</t>
  </si>
  <si>
    <t>Deal 33</t>
  </si>
  <si>
    <t>Deal 34</t>
  </si>
  <si>
    <t>Deal 35</t>
  </si>
  <si>
    <t>Deal 36</t>
  </si>
  <si>
    <t>Deal 37</t>
  </si>
  <si>
    <t>Deal 38</t>
  </si>
  <si>
    <t>Deal 39</t>
  </si>
  <si>
    <t>Deal 40</t>
  </si>
  <si>
    <t>Deal 41</t>
  </si>
  <si>
    <t>Deal 42</t>
  </si>
  <si>
    <t>Deal 43</t>
  </si>
  <si>
    <t>Deal 44</t>
  </si>
  <si>
    <t>Deal 45</t>
  </si>
  <si>
    <t>Deal 46</t>
  </si>
  <si>
    <t>Deal 47</t>
  </si>
  <si>
    <t>Deal 48</t>
  </si>
  <si>
    <t>Deal 49</t>
  </si>
  <si>
    <t>Deal 50</t>
  </si>
  <si>
    <t>Deal 51</t>
  </si>
  <si>
    <t>Deal 52</t>
  </si>
  <si>
    <t>Deal 53</t>
  </si>
  <si>
    <t>Deal 54</t>
  </si>
  <si>
    <t>Deal 55</t>
  </si>
  <si>
    <t>Deal 56</t>
  </si>
  <si>
    <t>Deal 57</t>
  </si>
  <si>
    <t>Deal 58</t>
  </si>
  <si>
    <t>Deal 59</t>
  </si>
  <si>
    <t>Deal 60</t>
  </si>
  <si>
    <t>Deal 61</t>
  </si>
  <si>
    <t>Deal 62</t>
  </si>
  <si>
    <t>Deal 63</t>
  </si>
  <si>
    <t>Deal 64</t>
  </si>
  <si>
    <t>Deal 65</t>
  </si>
  <si>
    <t>Deal 66</t>
  </si>
  <si>
    <t>Deal 67</t>
  </si>
  <si>
    <t>Deal 68</t>
  </si>
  <si>
    <t>Deal 69</t>
  </si>
  <si>
    <t>Deal 70</t>
  </si>
  <si>
    <t>Deal 71</t>
  </si>
  <si>
    <t>Deal 72</t>
  </si>
  <si>
    <t>Deal 73</t>
  </si>
  <si>
    <t>Deal 74</t>
  </si>
  <si>
    <t>Deal 75</t>
  </si>
  <si>
    <t>Deal 76</t>
  </si>
  <si>
    <t>Deal 77</t>
  </si>
  <si>
    <t>Deal 78</t>
  </si>
  <si>
    <t>Deal 79</t>
  </si>
  <si>
    <t>Deal 80</t>
  </si>
  <si>
    <t>Deal 81</t>
  </si>
  <si>
    <t>Deal 82</t>
  </si>
  <si>
    <t>Deal 83</t>
  </si>
  <si>
    <t>Deal 84</t>
  </si>
  <si>
    <t>Deal 85</t>
  </si>
  <si>
    <t>Deal 86</t>
  </si>
  <si>
    <t>Deal 87</t>
  </si>
  <si>
    <t>Deal 88</t>
  </si>
  <si>
    <t>Deal 89</t>
  </si>
  <si>
    <t>Deal 90</t>
  </si>
  <si>
    <t>Deal 91</t>
  </si>
  <si>
    <t>Deal 92</t>
  </si>
  <si>
    <t>Deal 93</t>
  </si>
  <si>
    <t>Deal 94</t>
  </si>
  <si>
    <t>Deal 95</t>
  </si>
  <si>
    <t>Deal 96</t>
  </si>
  <si>
    <t>Deal 97</t>
  </si>
  <si>
    <t>Deal 98</t>
  </si>
  <si>
    <t>Deal 99</t>
  </si>
  <si>
    <t>Deal 100</t>
  </si>
  <si>
    <t>Deal 101</t>
  </si>
  <si>
    <t>Deal 102</t>
  </si>
  <si>
    <t>Deal 103</t>
  </si>
  <si>
    <t>Deal 104</t>
  </si>
  <si>
    <t>Deal 105</t>
  </si>
  <si>
    <t>Deal 106</t>
  </si>
  <si>
    <t>Deal 107</t>
  </si>
  <si>
    <t>Deal 108</t>
  </si>
  <si>
    <t>Deal 109</t>
  </si>
  <si>
    <t>Deal 110</t>
  </si>
  <si>
    <t>Deal 111</t>
  </si>
  <si>
    <t>Deal 112</t>
  </si>
  <si>
    <t>Deal 113</t>
  </si>
  <si>
    <t>Deal 114</t>
  </si>
  <si>
    <t>Deal 115</t>
  </si>
  <si>
    <t>Deal 116</t>
  </si>
  <si>
    <t>Deal 117</t>
  </si>
  <si>
    <t>Deal 118</t>
  </si>
  <si>
    <t>Deal 119</t>
  </si>
  <si>
    <t>Deal 120</t>
  </si>
  <si>
    <t>Deal 121</t>
  </si>
  <si>
    <t>Deal 122</t>
  </si>
  <si>
    <t>Deal 123</t>
  </si>
  <si>
    <t>Deal 124</t>
  </si>
  <si>
    <t>Deal 125</t>
  </si>
  <si>
    <t>Deal 126</t>
  </si>
  <si>
    <t>Deal 127</t>
  </si>
  <si>
    <t>Deal 128</t>
  </si>
  <si>
    <t>Deal 129</t>
  </si>
  <si>
    <t>Deal 130</t>
  </si>
  <si>
    <t>Deal 131</t>
  </si>
  <si>
    <t>Deal 132</t>
  </si>
  <si>
    <t>Deal 133</t>
  </si>
  <si>
    <t>Deal 134</t>
  </si>
  <si>
    <t>Deal 135</t>
  </si>
  <si>
    <t>Deal 136</t>
  </si>
  <si>
    <t>Deal 137</t>
  </si>
  <si>
    <t>Deal 138</t>
  </si>
  <si>
    <t>Deal 139</t>
  </si>
  <si>
    <t>Deal 140</t>
  </si>
  <si>
    <t>Deal 141</t>
  </si>
  <si>
    <t>Deal 142</t>
  </si>
  <si>
    <t>Deal 143</t>
  </si>
  <si>
    <t>Deal 144</t>
  </si>
  <si>
    <t>Deal 145</t>
  </si>
  <si>
    <t>Deal 146</t>
  </si>
  <si>
    <t>Deal 147</t>
  </si>
  <si>
    <t>Deal 148</t>
  </si>
  <si>
    <t>Deal 149</t>
  </si>
  <si>
    <t>Deal 150</t>
  </si>
  <si>
    <t>Deal 151</t>
  </si>
  <si>
    <t>Deal 152</t>
  </si>
  <si>
    <t>Deal 153</t>
  </si>
  <si>
    <t>Deal 154</t>
  </si>
  <si>
    <t>Deal 155</t>
  </si>
  <si>
    <t>Deal 156</t>
  </si>
  <si>
    <t>Deal 157</t>
  </si>
  <si>
    <t>Deal 158</t>
  </si>
  <si>
    <t>Deal 159</t>
  </si>
  <si>
    <t>Deal 160</t>
  </si>
  <si>
    <t>Deal 161</t>
  </si>
  <si>
    <t>Deal 162</t>
  </si>
  <si>
    <t>Deal 163</t>
  </si>
  <si>
    <t>Deal 164</t>
  </si>
  <si>
    <t>Deal 165</t>
  </si>
  <si>
    <t>Deal 166</t>
  </si>
  <si>
    <t>Deal 167</t>
  </si>
  <si>
    <t>Deal 168</t>
  </si>
  <si>
    <t>Deal 169</t>
  </si>
  <si>
    <t>Deal 170</t>
  </si>
  <si>
    <t>Deal 171</t>
  </si>
  <si>
    <t>Deal 172</t>
  </si>
  <si>
    <t>Deal 173</t>
  </si>
  <si>
    <t>Deal 174</t>
  </si>
  <si>
    <t>Deal 175</t>
  </si>
  <si>
    <t>Deal 176</t>
  </si>
  <si>
    <t>Deal 177</t>
  </si>
  <si>
    <t>Deal 178</t>
  </si>
  <si>
    <t>Deal 179</t>
  </si>
  <si>
    <t>Deal 180</t>
  </si>
  <si>
    <t>Deal 181</t>
  </si>
  <si>
    <t>Deal 182</t>
  </si>
  <si>
    <t>Deal 183</t>
  </si>
  <si>
    <t>Deal 184</t>
  </si>
  <si>
    <t>Deal 185</t>
  </si>
  <si>
    <t>Deal 186</t>
  </si>
  <si>
    <t>Deal 187</t>
  </si>
  <si>
    <t>Deal 188</t>
  </si>
  <si>
    <t>Deal 189</t>
  </si>
  <si>
    <t>Deal 190</t>
  </si>
  <si>
    <t>Deal 191</t>
  </si>
  <si>
    <t>Deal 192</t>
  </si>
  <si>
    <t>Deal 193</t>
  </si>
  <si>
    <t>Deal 194</t>
  </si>
  <si>
    <t>Deal 195</t>
  </si>
  <si>
    <t>Deal 196</t>
  </si>
  <si>
    <t>Deal 197</t>
  </si>
  <si>
    <t>Deal 198</t>
  </si>
  <si>
    <t>Deal 199</t>
  </si>
  <si>
    <t>Deal 200</t>
  </si>
  <si>
    <t>Deal 201</t>
  </si>
  <si>
    <t>Deal 202</t>
  </si>
  <si>
    <t>Deal 203</t>
  </si>
  <si>
    <t>Deal 204</t>
  </si>
  <si>
    <t>Deal 205</t>
  </si>
  <si>
    <t>Deal 206</t>
  </si>
  <si>
    <t>Deal 207</t>
  </si>
  <si>
    <t>Deal 208</t>
  </si>
  <si>
    <t>Deal 209</t>
  </si>
  <si>
    <t>Deal 210</t>
  </si>
  <si>
    <t>Deal 211</t>
  </si>
  <si>
    <t>Deal 212</t>
  </si>
  <si>
    <t>Deal 213</t>
  </si>
  <si>
    <t>Deal 214</t>
  </si>
  <si>
    <t>Deal 215</t>
  </si>
  <si>
    <t>Deal 216</t>
  </si>
  <si>
    <t>Deal 217</t>
  </si>
  <si>
    <t>Deal 218</t>
  </si>
  <si>
    <t>Deal 219</t>
  </si>
  <si>
    <t>Deal 220</t>
  </si>
  <si>
    <t>Deal 221</t>
  </si>
  <si>
    <t>Deal 222</t>
  </si>
  <si>
    <t>Deal 223</t>
  </si>
  <si>
    <t>Deal 224</t>
  </si>
  <si>
    <t>Deal 225</t>
  </si>
  <si>
    <t>Deal 226</t>
  </si>
  <si>
    <t>Deal 227</t>
  </si>
  <si>
    <t>Deal 228</t>
  </si>
  <si>
    <t>Deal 229</t>
  </si>
  <si>
    <t>Deal 230</t>
  </si>
  <si>
    <t>Deal 231</t>
  </si>
  <si>
    <t>Deal 232</t>
  </si>
  <si>
    <t>Deal 233</t>
  </si>
  <si>
    <t>Deal 234</t>
  </si>
  <si>
    <t>Deal 235</t>
  </si>
  <si>
    <t>Deal 236</t>
  </si>
  <si>
    <t>Deal 237</t>
  </si>
  <si>
    <t>Deal 238</t>
  </si>
  <si>
    <t>Deal 239</t>
  </si>
  <si>
    <t>Deal 240</t>
  </si>
  <si>
    <t>Deal 241</t>
  </si>
  <si>
    <t>Deal 242</t>
  </si>
  <si>
    <t>Deal 243</t>
  </si>
  <si>
    <t>Deal 244</t>
  </si>
  <si>
    <t>Deal 245</t>
  </si>
  <si>
    <t>Deal 246</t>
  </si>
  <si>
    <t>Deal 247</t>
  </si>
  <si>
    <t>Deal 248</t>
  </si>
  <si>
    <t>Deal 249</t>
  </si>
  <si>
    <t>Deal 250</t>
  </si>
  <si>
    <t>Deal 251</t>
  </si>
  <si>
    <t>Deal 252</t>
  </si>
  <si>
    <t>Deal 253</t>
  </si>
  <si>
    <t>Deal 254</t>
  </si>
  <si>
    <t>Deal 255</t>
  </si>
  <si>
    <t>Deal 256</t>
  </si>
  <si>
    <t>Deal 257</t>
  </si>
  <si>
    <t>Deal 258</t>
  </si>
  <si>
    <t>Deal 259</t>
  </si>
  <si>
    <t>Deal 260</t>
  </si>
  <si>
    <t>Deal 261</t>
  </si>
  <si>
    <t>Deal 262</t>
  </si>
  <si>
    <t>Deal 263</t>
  </si>
  <si>
    <t>Deal 264</t>
  </si>
  <si>
    <t>Deal 265</t>
  </si>
  <si>
    <t>Deal 266</t>
  </si>
  <si>
    <t>Deal 267</t>
  </si>
  <si>
    <t>Deal 268</t>
  </si>
  <si>
    <t>Deal 269</t>
  </si>
  <si>
    <t>Deal 270</t>
  </si>
  <si>
    <t>Deal 271</t>
  </si>
  <si>
    <t>Deal 272</t>
  </si>
  <si>
    <t>Deal 273</t>
  </si>
  <si>
    <t>Deal 274</t>
  </si>
  <si>
    <t>Deal 275</t>
  </si>
  <si>
    <t>Deal 276</t>
  </si>
  <si>
    <t>Deal 277</t>
  </si>
  <si>
    <t>Deal 278</t>
  </si>
  <si>
    <t>Deal 279</t>
  </si>
  <si>
    <t>Deal 280</t>
  </si>
  <si>
    <t>Deal 281</t>
  </si>
  <si>
    <t>Deal 282</t>
  </si>
  <si>
    <t>Deal 283</t>
  </si>
  <si>
    <t>Deal 284</t>
  </si>
  <si>
    <t>Deal 285</t>
  </si>
  <si>
    <t>Deal 286</t>
  </si>
  <si>
    <t>Deal 287</t>
  </si>
  <si>
    <t>Deal 288</t>
  </si>
  <si>
    <t>Deal 289</t>
  </si>
  <si>
    <t>Deal 290</t>
  </si>
  <si>
    <t>Deal 291</t>
  </si>
  <si>
    <t>Deal 292</t>
  </si>
  <si>
    <t>Deal 293</t>
  </si>
  <si>
    <t>Deal 294</t>
  </si>
  <si>
    <t>Deal 295</t>
  </si>
  <si>
    <t>Deal 296</t>
  </si>
  <si>
    <t>Deal 297</t>
  </si>
  <si>
    <t>Deal 298</t>
  </si>
  <si>
    <t>Deal 299</t>
  </si>
  <si>
    <t>Deal 300</t>
  </si>
  <si>
    <t>Deal 301</t>
  </si>
  <si>
    <t>Deal 302</t>
  </si>
  <si>
    <t>Deal 303</t>
  </si>
  <si>
    <t>Deal 304</t>
  </si>
  <si>
    <t>Deal 305</t>
  </si>
  <si>
    <t>Deal 306</t>
  </si>
  <si>
    <t>Deal 307</t>
  </si>
  <si>
    <t>Deal 308</t>
  </si>
  <si>
    <t>Deal 309</t>
  </si>
  <si>
    <t>Deal 310</t>
  </si>
  <si>
    <t>Deal 311</t>
  </si>
  <si>
    <t>Deal 312</t>
  </si>
  <si>
    <t>Deal 313</t>
  </si>
  <si>
    <t>Deal 314</t>
  </si>
  <si>
    <t>Deal 315</t>
  </si>
  <si>
    <t>Deal 316</t>
  </si>
  <si>
    <t>Deal 317</t>
  </si>
  <si>
    <t>Deal 318</t>
  </si>
  <si>
    <t>Deal 319</t>
  </si>
  <si>
    <t>Deal 320</t>
  </si>
  <si>
    <t>Deal 321</t>
  </si>
  <si>
    <t>Deal 322</t>
  </si>
  <si>
    <t>Deal 323</t>
  </si>
  <si>
    <t>Deal 324</t>
  </si>
  <si>
    <t>Deal 325</t>
  </si>
  <si>
    <t>Deal 326</t>
  </si>
  <si>
    <t>Deal 327</t>
  </si>
  <si>
    <t>Deal 328</t>
  </si>
  <si>
    <t>Deal 329</t>
  </si>
  <si>
    <t>Deal 330</t>
  </si>
  <si>
    <t>Deal 331</t>
  </si>
  <si>
    <t>Deal 332</t>
  </si>
  <si>
    <t>Deal 333</t>
  </si>
  <si>
    <t>Deal 334</t>
  </si>
  <si>
    <t>Deal 335</t>
  </si>
  <si>
    <t>Deal 336</t>
  </si>
  <si>
    <t>Deal 337</t>
  </si>
  <si>
    <t>Deal 338</t>
  </si>
  <si>
    <t>Deal 339</t>
  </si>
  <si>
    <t>Deal 340</t>
  </si>
  <si>
    <t>Deal 341</t>
  </si>
  <si>
    <t>Deal 342</t>
  </si>
  <si>
    <t>Deal 343</t>
  </si>
  <si>
    <t>Deal 344</t>
  </si>
  <si>
    <t>Deal 345</t>
  </si>
  <si>
    <t>Deal 346</t>
  </si>
  <si>
    <t>Deal 347</t>
  </si>
  <si>
    <t>Deal 348</t>
  </si>
  <si>
    <t>Deal 349</t>
  </si>
  <si>
    <t>Deal 350</t>
  </si>
  <si>
    <t>Deal 351</t>
  </si>
  <si>
    <t>Deal 352</t>
  </si>
  <si>
    <t>Deal 353</t>
  </si>
  <si>
    <t>Deal 354</t>
  </si>
  <si>
    <t>Deal 355</t>
  </si>
  <si>
    <t>Deal 356</t>
  </si>
  <si>
    <t>Deal 357</t>
  </si>
  <si>
    <t>Deal 358</t>
  </si>
  <si>
    <t>Deal 359</t>
  </si>
  <si>
    <t>Deal 360</t>
  </si>
  <si>
    <t>Deal 361</t>
  </si>
  <si>
    <t>Deal 362</t>
  </si>
  <si>
    <t>Deal 363</t>
  </si>
  <si>
    <t>Deal 364</t>
  </si>
  <si>
    <t>Deal 365</t>
  </si>
  <si>
    <t>Deal 366</t>
  </si>
  <si>
    <t>Deal 367</t>
  </si>
  <si>
    <t>Deal 368</t>
  </si>
  <si>
    <t>Deal 369</t>
  </si>
  <si>
    <t>Deal 370</t>
  </si>
  <si>
    <t>Deal 371</t>
  </si>
  <si>
    <t>Deal 372</t>
  </si>
  <si>
    <t>Deal 373</t>
  </si>
  <si>
    <t>Deal 374</t>
  </si>
  <si>
    <t>Deal 375</t>
  </si>
  <si>
    <t>Deal 376</t>
  </si>
  <si>
    <t>Deal 377</t>
  </si>
  <si>
    <t>Deal 378</t>
  </si>
  <si>
    <t>Deal 379</t>
  </si>
  <si>
    <t>Deal 380</t>
  </si>
  <si>
    <t>Deal 381</t>
  </si>
  <si>
    <t>Deal 382</t>
  </si>
  <si>
    <t>Deal 383</t>
  </si>
  <si>
    <t>Deal 384</t>
  </si>
  <si>
    <t>Deal 385</t>
  </si>
  <si>
    <t>Deal 386</t>
  </si>
  <si>
    <t>Deal 387</t>
  </si>
  <si>
    <t>Deal 388</t>
  </si>
  <si>
    <t>Deal 389</t>
  </si>
  <si>
    <t>Deal 390</t>
  </si>
  <si>
    <t>Deal 391</t>
  </si>
  <si>
    <t>Deal 392</t>
  </si>
  <si>
    <t>Deal 393</t>
  </si>
  <si>
    <t>Deal 394</t>
  </si>
  <si>
    <t>Deal 395</t>
  </si>
  <si>
    <t>Deal 396</t>
  </si>
  <si>
    <t>Deal 397</t>
  </si>
  <si>
    <t>Deal 398</t>
  </si>
  <si>
    <t>Deal 399</t>
  </si>
  <si>
    <t>Deal 400</t>
  </si>
  <si>
    <t>Deal 401</t>
  </si>
  <si>
    <t>Deal 402</t>
  </si>
  <si>
    <t>Deal 403</t>
  </si>
  <si>
    <t>Deal 404</t>
  </si>
  <si>
    <t>Deal 405</t>
  </si>
  <si>
    <t>Deal 406</t>
  </si>
  <si>
    <t>Deal 407</t>
  </si>
  <si>
    <t>Deal 408</t>
  </si>
  <si>
    <t>Deal 409</t>
  </si>
  <si>
    <t>Deal 410</t>
  </si>
  <si>
    <t>Deal 411</t>
  </si>
  <si>
    <t>Deal 412</t>
  </si>
  <si>
    <t>Deal 413</t>
  </si>
  <si>
    <t>Deal 414</t>
  </si>
  <si>
    <t>Deal 415</t>
  </si>
  <si>
    <t>Deal 416</t>
  </si>
  <si>
    <t>Deal 417</t>
  </si>
  <si>
    <t>Deal 418</t>
  </si>
  <si>
    <t>Deal 419</t>
  </si>
  <si>
    <t>Deal 420</t>
  </si>
  <si>
    <t>Deal 421</t>
  </si>
  <si>
    <t>Deal 422</t>
  </si>
  <si>
    <t>Deal 423</t>
  </si>
  <si>
    <t>Deal 424</t>
  </si>
  <si>
    <t>Deal 425</t>
  </si>
  <si>
    <t>Deal 426</t>
  </si>
  <si>
    <t>Deal 427</t>
  </si>
  <si>
    <t>Deal 428</t>
  </si>
  <si>
    <t>Deal 429</t>
  </si>
  <si>
    <t>Deal 430</t>
  </si>
  <si>
    <t>Deal 431</t>
  </si>
  <si>
    <t>Deal 432</t>
  </si>
  <si>
    <t>Deal 433</t>
  </si>
  <si>
    <t>Deal 434</t>
  </si>
  <si>
    <t>Deal 435</t>
  </si>
  <si>
    <t>Deal 436</t>
  </si>
  <si>
    <t>Deal 437</t>
  </si>
  <si>
    <t>Deal 438</t>
  </si>
  <si>
    <t>Deal 439</t>
  </si>
  <si>
    <t>Deal 440</t>
  </si>
  <si>
    <t>Deal 441</t>
  </si>
  <si>
    <t>Deal 442</t>
  </si>
  <si>
    <t>Deal 443</t>
  </si>
  <si>
    <t>Deal 444</t>
  </si>
  <si>
    <t>Deal 445</t>
  </si>
  <si>
    <t>Deal 446</t>
  </si>
  <si>
    <t>Deal 447</t>
  </si>
  <si>
    <t>Deal 448</t>
  </si>
  <si>
    <t>Deal 449</t>
  </si>
  <si>
    <t>Deal 450</t>
  </si>
  <si>
    <t>Deal 451</t>
  </si>
  <si>
    <t>Deal 452</t>
  </si>
  <si>
    <t>Deal 453</t>
  </si>
  <si>
    <t>Deal 454</t>
  </si>
  <si>
    <t>Deal 455</t>
  </si>
  <si>
    <t>Deal 456</t>
  </si>
  <si>
    <t>Deal 457</t>
  </si>
  <si>
    <t>Deal 458</t>
  </si>
  <si>
    <t>Deal 459</t>
  </si>
  <si>
    <t>Deal 460</t>
  </si>
  <si>
    <t>Deal 461</t>
  </si>
  <si>
    <t>Deal 462</t>
  </si>
  <si>
    <t>Deal 463</t>
  </si>
  <si>
    <t>Deal 464</t>
  </si>
  <si>
    <t>Deal 465</t>
  </si>
  <si>
    <t>Deal 466</t>
  </si>
  <si>
    <t>Deal 467</t>
  </si>
  <si>
    <t>Deal 468</t>
  </si>
  <si>
    <t>Deal 469</t>
  </si>
  <si>
    <t>Deal 470</t>
  </si>
  <si>
    <t>Deal 471</t>
  </si>
  <si>
    <t>Deal 472</t>
  </si>
  <si>
    <t>Deal 473</t>
  </si>
  <si>
    <t>Deal 474</t>
  </si>
  <si>
    <t>Deal 475</t>
  </si>
  <si>
    <t>Deal 476</t>
  </si>
  <si>
    <t>Deal 477</t>
  </si>
  <si>
    <t>Deal 478</t>
  </si>
  <si>
    <t>Deal 479</t>
  </si>
  <si>
    <t>Deal 480</t>
  </si>
  <si>
    <t>Deal 481</t>
  </si>
  <si>
    <t>Deal 482</t>
  </si>
  <si>
    <t>Deal 483</t>
  </si>
  <si>
    <t>Deal 484</t>
  </si>
  <si>
    <t>Deal 485</t>
  </si>
  <si>
    <t>Deal 486</t>
  </si>
  <si>
    <t>Deal 487</t>
  </si>
  <si>
    <t>Deal 488</t>
  </si>
  <si>
    <t>Deal 489</t>
  </si>
  <si>
    <t>Deal 490</t>
  </si>
  <si>
    <t>Deal 491</t>
  </si>
  <si>
    <t>Deal 492</t>
  </si>
  <si>
    <t>Deal 493</t>
  </si>
  <si>
    <t>Deal 494</t>
  </si>
  <si>
    <t>Deal 495</t>
  </si>
  <si>
    <t>Deal 496</t>
  </si>
  <si>
    <t>Deal 497</t>
  </si>
  <si>
    <t>Deal 498</t>
  </si>
  <si>
    <t>Deal 499</t>
  </si>
  <si>
    <t>Deal 500</t>
  </si>
  <si>
    <t>Deal 501</t>
  </si>
  <si>
    <t>Deal 502</t>
  </si>
  <si>
    <t>Deal 503</t>
  </si>
  <si>
    <t>Deal 504</t>
  </si>
  <si>
    <t>Deal 505</t>
  </si>
  <si>
    <t>Deal 506</t>
  </si>
  <si>
    <t>Deal 507</t>
  </si>
  <si>
    <t>Deal 508</t>
  </si>
  <si>
    <t>Deal 509</t>
  </si>
  <si>
    <t>Deal 510</t>
  </si>
  <si>
    <t>Deal 511</t>
  </si>
  <si>
    <t>Deal 512</t>
  </si>
  <si>
    <t>Deal 513</t>
  </si>
  <si>
    <t>Deal 514</t>
  </si>
  <si>
    <t>Deal 515</t>
  </si>
  <si>
    <t>Deal 516</t>
  </si>
  <si>
    <t>Deal 517</t>
  </si>
  <si>
    <t>Deal 518</t>
  </si>
  <si>
    <t>Deal 519</t>
  </si>
  <si>
    <t>Deal 520</t>
  </si>
  <si>
    <t>Deal 521</t>
  </si>
  <si>
    <t>Deal 522</t>
  </si>
  <si>
    <t>Deal 523</t>
  </si>
  <si>
    <t>Deal 524</t>
  </si>
  <si>
    <t>Deal 525</t>
  </si>
  <si>
    <t>Deal 526</t>
  </si>
  <si>
    <t>Deal 527</t>
  </si>
  <si>
    <t>Deal 528</t>
  </si>
  <si>
    <t>Deal 529</t>
  </si>
  <si>
    <t>Deal 530</t>
  </si>
  <si>
    <t>Deal 531</t>
  </si>
  <si>
    <t>Deal 532</t>
  </si>
  <si>
    <t>Deal 533</t>
  </si>
  <si>
    <t>Deal 534</t>
  </si>
  <si>
    <t>Deal 535</t>
  </si>
  <si>
    <t>Deal 536</t>
  </si>
  <si>
    <t>Deal 537</t>
  </si>
  <si>
    <t>Deal 538</t>
  </si>
  <si>
    <t>Deal 539</t>
  </si>
  <si>
    <t>Deal 540</t>
  </si>
  <si>
    <t>Deal 541</t>
  </si>
  <si>
    <t>Deal 542</t>
  </si>
  <si>
    <t>Deal 543</t>
  </si>
  <si>
    <t>Deal 544</t>
  </si>
  <si>
    <t>Deal 545</t>
  </si>
  <si>
    <t>Deal 546</t>
  </si>
  <si>
    <t>Deal 547</t>
  </si>
  <si>
    <t>Deal 548</t>
  </si>
  <si>
    <t>Deal Value</t>
  </si>
  <si>
    <t>Deal ID</t>
  </si>
  <si>
    <t>Revenue LTM</t>
  </si>
  <si>
    <t>EBITDA LTM</t>
  </si>
  <si>
    <t>Entry Multiple</t>
  </si>
  <si>
    <t>EBITDA Margin</t>
  </si>
  <si>
    <t>Count</t>
  </si>
  <si>
    <t>Median</t>
  </si>
  <si>
    <t>Mean</t>
  </si>
  <si>
    <t>25th percentile</t>
  </si>
  <si>
    <t>75th percentile</t>
  </si>
  <si>
    <t>Min</t>
  </si>
  <si>
    <t>Max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</si>
</sst>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2" formatCode="_(* #,##0.0#_);_(* \(#,##0.0#\)_)\ ;_(* 0_)"/>
    <numFmt numFmtId="173" formatCode="_(* #,##0.0_);_(* \(#,##0.0\)_)\ ;_(* 0_)"/>
    <numFmt numFmtId="174" formatCode="mm/dd/yyyy"/>
    <numFmt numFmtId="175" formatCode="_(* #,##0.0##_);_(* \(#,##0.0##\)_)\ ;_(* 0_)"/>
    <numFmt numFmtId="177" formatCode="_(* #,##0_);_(* \(#,##0\)_)\ ;_(* 0_)"/>
  </numFmts>
  <fonts count="19" x14ac:knownFonts="1">
    <font>
      <sz val="10"/>
      <name val="Arial"/>
    </font>
    <font>
      <sz val="8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"/>
      <color indexed="9"/>
      <name val="Symbol"/>
      <charset val="2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8"/>
      <color indexed="17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</fills>
  <borders count="1">
    <border>
      <start/>
      <end/>
      <top/>
      <bottom/>
      <diagonal/>
    </border>
  </borders>
  <cellStyleXfs count="16">
    <xf numFmtId="0" fontId="0" fillId="0" borderId="0"/>
    <xf numFmtId="0" fontId="14" fillId="0" borderId="0" applyAlignment="0"/>
    <xf numFmtId="0" fontId="15" fillId="0" borderId="0" applyAlignment="0"/>
    <xf numFmtId="0" fontId="7" fillId="2" borderId="0" applyAlignment="0"/>
    <xf numFmtId="0" fontId="13" fillId="0" borderId="0" applyAlignment="0"/>
    <xf numFmtId="0" fontId="5" fillId="3" borderId="0" applyAlignment="0"/>
    <xf numFmtId="0" fontId="4" fillId="4" borderId="0" applyAlignment="0"/>
    <xf numFmtId="0" fontId="3" fillId="0" borderId="0" applyAlignment="0"/>
    <xf numFmtId="0" fontId="6" fillId="5" borderId="0" applyAlignment="0"/>
    <xf numFmtId="0" fontId="10" fillId="0" borderId="0" applyAlignment="0"/>
    <xf numFmtId="0" fontId="9" fillId="0" borderId="0" applyAlignment="0"/>
    <xf numFmtId="0" fontId="11" fillId="0" borderId="0" applyAlignment="0"/>
    <xf numFmtId="0" fontId="12" fillId="0" borderId="0" applyAlignment="0"/>
    <xf numFmtId="0" fontId="8" fillId="0" borderId="0" applyAlignment="0"/>
    <xf numFmtId="0" fontId="2" fillId="0" borderId="0" applyAlignment="0"/>
    <xf numFmtId="0" fontId="11" fillId="0" borderId="0" applyAlignment="0">
      <alignment wrapText="1"/>
    </xf>
  </cellStyleXfs>
  <cellXfs count="19">
    <xf numFmtId="0" fontId="1" fillId="0" borderId="0" xfId="0" applyFont="1" applyAlignment="1"/>
    <xf numFmtId="174" fontId="8" fillId="0" borderId="0" xfId="13" applyNumberFormat="1" applyAlignment="1">
      <alignment horizontal="left" vertical="top"/>
    </xf>
    <xf numFmtId="0" fontId="7" fillId="2" borderId="0" xfId="3" applyFont="1" applyAlignment="1">
      <alignment horizontal="left" wrapText="1"/>
    </xf>
    <xf numFmtId="0" fontId="8" fillId="0" borderId="0" xfId="13" applyAlignment="1">
      <alignment horizontal="left" vertical="top" wrapText="1"/>
    </xf>
    <xf numFmtId="49" fontId="1" fillId="0" borderId="0" xfId="0" applyNumberFormat="1" applyFont="1" applyAlignment="1">
      <alignment horizontal="left" vertical="top"/>
    </xf>
    <xf numFmtId="172" fontId="1" fillId="0" borderId="0" xfId="0" applyNumberFormat="1" applyFont="1" applyAlignment="1">
      <alignment horizontal="right" vertical="top" wrapText="1"/>
    </xf>
    <xf numFmtId="1" fontId="1" fillId="0" borderId="0" xfId="0" applyNumberFormat="1" applyFont="1" applyAlignment="1">
      <alignment horizontal="right" vertical="top" wrapText="1"/>
    </xf>
    <xf numFmtId="175" fontId="1" fillId="0" borderId="0" xfId="0" applyNumberFormat="1" applyFont="1" applyAlignment="1">
      <alignment horizontal="right" vertical="top" wrapText="1"/>
    </xf>
    <xf numFmtId="0" fontId="7" fillId="2" borderId="0" xfId="3" applyFont="1" applyAlignment="1">
      <alignment horizontal="right" wrapText="1"/>
    </xf>
    <xf numFmtId="49" fontId="1" fillId="0" borderId="0" xfId="0" applyNumberFormat="1" applyFont="1" applyAlignment="1">
      <alignment horizontal="left" vertical="top" wrapText="1"/>
    </xf>
    <xf numFmtId="173" fontId="1" fillId="0" borderId="0" xfId="0" applyNumberFormat="1" applyFont="1" applyAlignment="1">
      <alignment horizontal="right" vertical="top" wrapText="1"/>
    </xf>
    <xf numFmtId="1" fontId="1" fillId="0" borderId="0" xfId="0" applyNumberFormat="1" applyFont="1" applyAlignment="1">
      <alignment horizontal="left" vertical="top" wrapText="1"/>
    </xf>
    <xf numFmtId="177" fontId="1" fillId="0" borderId="0" xfId="0" applyNumberFormat="1" applyFont="1" applyAlignment="1">
      <alignment horizontal="right" vertical="top" wrapText="1"/>
    </xf>
    <xf numFmtId="0" fontId="16" fillId="0" borderId="0" xfId="0" applyFont="1" applyAlignment="1"/>
    <xf numFmtId="0" fontId="18" fillId="0" borderId="0" xfId="0" applyFont="1" applyAlignment="1"/>
    <xf numFmtId="49" fontId="1" fillId="0" borderId="0" xfId="0" applyNumberFormat="1" applyFont="1" applyAlignment="1"/>
    <xf numFmtId="2" fontId="1" fillId="0" borderId="0" xfId="0" applyNumberFormat="1" applyFont="1" applyAlignment="1"/>
    <xf numFmtId="0" fontId="1" fillId="6" borderId="0" xfId="0" applyFont="1" applyFill="1" applyAlignment="1"/>
    <xf numFmtId="2" fontId="1" fillId="6" borderId="0" xfId="0" applyNumberFormat="1" applyFont="1" applyFill="1" applyAlignment="1"/>
  </cellXfs>
  <cellStyles count="16">
    <cellStyle name="ChartingText" xfId="1" xr:uid="{0B8A9847-F35B-9E4E-96EB-954238D3A60B}"/>
    <cellStyle name="CHPTop" xfId="2" xr:uid="{ADC04DB8-74D3-CE45-81A5-F10EBB3D384D}"/>
    <cellStyle name="ColumnHeaderNormal" xfId="3" xr:uid="{D1B2D75D-18AC-9544-B630-08DBF90F2713}"/>
    <cellStyle name="Invisible" xfId="4" xr:uid="{39B7170A-AB46-724A-BFD5-D27B28195B69}"/>
    <cellStyle name="NewColumnHeaderNormal" xfId="5" xr:uid="{384106D0-9BC4-C14A-A57D-C89443BC9DF1}"/>
    <cellStyle name="NewSectionHeaderNormal" xfId="6" xr:uid="{2E00C889-286D-7546-A800-D07403036C6C}"/>
    <cellStyle name="NewTitleNormal" xfId="7" xr:uid="{BC462030-8BFC-674D-9D29-E2F62C165ACA}"/>
    <cellStyle name="Normal" xfId="0" builtinId="0"/>
    <cellStyle name="SectionHeaderNormal" xfId="8" xr:uid="{696A9F32-B61D-7544-A844-A84D1662621A}"/>
    <cellStyle name="SubScript" xfId="9" xr:uid="{D195A8BE-9257-6A41-A43C-362341C94CEF}"/>
    <cellStyle name="SuperScript" xfId="10" xr:uid="{404493A7-0566-334B-875A-AE2571EC8970}"/>
    <cellStyle name="TextBold" xfId="11" xr:uid="{365B9F71-EA22-9540-9F46-4EFD64FE8C58}"/>
    <cellStyle name="TextItalic" xfId="12" xr:uid="{A024C740-CBA9-8943-A8EA-DA34707B220A}"/>
    <cellStyle name="TextNormal" xfId="13" xr:uid="{0F8E26C7-732A-F64A-B11E-D8C3BBA08634}"/>
    <cellStyle name="TitleNormal" xfId="14" xr:uid="{B6F08646-4D34-CC43-B2D9-FBEE7DB04259}"/>
    <cellStyle name="Total" xfId="15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A4040"/>
      <rgbColor rgb="00FFFFEB"/>
      <rgbColor rgb="00EEEEEE"/>
      <rgbColor rgb="00F0F0DC"/>
      <rgbColor rgb="00993366"/>
      <rgbColor rgb="00F5F5E1"/>
      <rgbColor rgb="00004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9EE2-E157-974D-9810-034E72FD3751}">
  <sheetPr filterMode="1"/>
  <dimension ref="A1:G794"/>
  <sheetViews>
    <sheetView tabSelected="1" zoomScale="188" workbookViewId="0">
      <selection activeCell="C121" sqref="C121"/>
    </sheetView>
  </sheetViews>
  <sheetFormatPr baseColWidth="10" defaultRowHeight="11" x14ac:dyDescent="0.15"/>
  <cols>
    <col min="2" max="2" width="11.6640625" bestFit="1" customWidth="1"/>
    <col min="7" max="7" width="13" bestFit="1" customWidth="1"/>
  </cols>
  <sheetData>
    <row r="1" spans="1:7" ht="13" x14ac:dyDescent="0.15">
      <c r="A1" t="s">
        <v>2033</v>
      </c>
      <c r="B1" t="s">
        <v>2583</v>
      </c>
      <c r="C1" t="s">
        <v>2582</v>
      </c>
      <c r="D1" t="s">
        <v>2584</v>
      </c>
      <c r="E1" t="s">
        <v>2585</v>
      </c>
      <c r="F1" s="14" t="s">
        <v>2586</v>
      </c>
      <c r="G1" s="14" t="s">
        <v>2587</v>
      </c>
    </row>
    <row r="2" spans="1:7" hidden="1" x14ac:dyDescent="0.15">
      <c r="A2" t="s">
        <v>2034</v>
      </c>
      <c r="B2" s="15" t="str">
        <f>Screening!I2</f>
        <v>IQTR1942758117</v>
      </c>
      <c r="C2">
        <f>Screening!F2</f>
        <v>9243.42</v>
      </c>
      <c r="D2">
        <f>Screening!L2</f>
        <v>30976.85</v>
      </c>
      <c r="E2">
        <f>Screening!N2</f>
        <v>5335.2</v>
      </c>
      <c r="F2" s="16">
        <f>C2/E2</f>
        <v>1.7325348627980208</v>
      </c>
      <c r="G2" s="16">
        <f>100*(E2/D2)</f>
        <v>17.223184410293495</v>
      </c>
    </row>
    <row r="3" spans="1:7" hidden="1" x14ac:dyDescent="0.15">
      <c r="A3" t="s">
        <v>2035</v>
      </c>
      <c r="B3" s="15" t="str">
        <f>Screening!I3</f>
        <v>IQTR1784746799</v>
      </c>
      <c r="C3">
        <f>Screening!F3</f>
        <v>72967.490000000005</v>
      </c>
      <c r="D3">
        <f>Screening!L3</f>
        <v>12945</v>
      </c>
      <c r="E3" t="str">
        <f>Screening!N3</f>
        <v>-</v>
      </c>
      <c r="F3" t="e">
        <f t="shared" ref="F3:F66" si="0">C3/E3</f>
        <v>#VALUE!</v>
      </c>
      <c r="G3" t="e">
        <f t="shared" ref="G3:G66" si="1">E3/D3</f>
        <v>#VALUE!</v>
      </c>
    </row>
    <row r="4" spans="1:7" hidden="1" x14ac:dyDescent="0.15">
      <c r="A4" t="s">
        <v>2036</v>
      </c>
      <c r="B4" s="15" t="str">
        <f>Screening!I4</f>
        <v>IQTR1860930383</v>
      </c>
      <c r="C4" t="str">
        <f>Screening!F4</f>
        <v>-</v>
      </c>
      <c r="D4">
        <f>Screening!L4</f>
        <v>11615.16</v>
      </c>
      <c r="E4">
        <f>Screening!N4</f>
        <v>534.70000000000005</v>
      </c>
      <c r="F4" t="e">
        <f t="shared" si="0"/>
        <v>#VALUE!</v>
      </c>
      <c r="G4">
        <f t="shared" si="1"/>
        <v>4.6034665041204778E-2</v>
      </c>
    </row>
    <row r="5" spans="1:7" hidden="1" x14ac:dyDescent="0.15">
      <c r="A5" t="s">
        <v>2037</v>
      </c>
      <c r="B5" s="15" t="str">
        <f>Screening!I5</f>
        <v>IQTR1944075963</v>
      </c>
      <c r="C5">
        <f>Screening!F5</f>
        <v>3000</v>
      </c>
      <c r="D5">
        <f>Screening!L5</f>
        <v>6000</v>
      </c>
      <c r="E5" t="str">
        <f>Screening!N5</f>
        <v>-</v>
      </c>
      <c r="F5" t="e">
        <f t="shared" si="0"/>
        <v>#VALUE!</v>
      </c>
      <c r="G5" t="e">
        <f t="shared" si="1"/>
        <v>#VALUE!</v>
      </c>
    </row>
    <row r="6" spans="1:7" hidden="1" x14ac:dyDescent="0.15">
      <c r="A6" t="s">
        <v>2038</v>
      </c>
      <c r="B6" s="15" t="str">
        <f>Screening!I6</f>
        <v>IQTR1867916120</v>
      </c>
      <c r="C6">
        <f>Screening!F6</f>
        <v>15396.69</v>
      </c>
      <c r="D6">
        <f>Screening!L6</f>
        <v>5564.5</v>
      </c>
      <c r="E6">
        <f>Screening!N6</f>
        <v>689.8</v>
      </c>
      <c r="F6" s="16">
        <f>C6/E6</f>
        <v>22.320513192229633</v>
      </c>
      <c r="G6" s="16">
        <f>100*(E6/D6)</f>
        <v>12.396441728816605</v>
      </c>
    </row>
    <row r="7" spans="1:7" hidden="1" x14ac:dyDescent="0.15">
      <c r="A7" t="s">
        <v>2039</v>
      </c>
      <c r="B7" s="15" t="str">
        <f>Screening!I7</f>
        <v>IQTR1912024769</v>
      </c>
      <c r="C7" t="str">
        <f>Screening!F7</f>
        <v>-</v>
      </c>
      <c r="D7">
        <f>Screening!L7</f>
        <v>5330.6</v>
      </c>
      <c r="E7">
        <f>Screening!N7</f>
        <v>776.9</v>
      </c>
      <c r="F7" t="e">
        <f t="shared" si="0"/>
        <v>#VALUE!</v>
      </c>
      <c r="G7">
        <f t="shared" si="1"/>
        <v>0.14574344351480131</v>
      </c>
    </row>
    <row r="8" spans="1:7" hidden="1" x14ac:dyDescent="0.15">
      <c r="A8" t="s">
        <v>2040</v>
      </c>
      <c r="B8" s="15" t="str">
        <f>Screening!I8</f>
        <v>IQTR1776383559</v>
      </c>
      <c r="C8">
        <f>Screening!F8</f>
        <v>478.06</v>
      </c>
      <c r="D8">
        <f>Screening!L8</f>
        <v>5157.45</v>
      </c>
      <c r="E8">
        <f>Screening!N8</f>
        <v>698.6</v>
      </c>
      <c r="F8" s="16">
        <f t="shared" si="0"/>
        <v>0.6843114801030632</v>
      </c>
      <c r="G8" s="16">
        <f>100*(E8/D8)</f>
        <v>13.545453664116957</v>
      </c>
    </row>
    <row r="9" spans="1:7" x14ac:dyDescent="0.15">
      <c r="A9" t="s">
        <v>2041</v>
      </c>
      <c r="B9" s="15" t="str">
        <f>Screening!I9</f>
        <v>IQTR1967911118</v>
      </c>
      <c r="C9">
        <f>Screening!F9</f>
        <v>4359.34</v>
      </c>
      <c r="D9">
        <f>Screening!L9</f>
        <v>4836.99</v>
      </c>
      <c r="E9">
        <f>Screening!N9</f>
        <v>766.3</v>
      </c>
      <c r="F9" s="16">
        <f t="shared" si="0"/>
        <v>5.6888163904476059</v>
      </c>
      <c r="G9" s="16">
        <f>100*(E9/D9)</f>
        <v>15.842497090132499</v>
      </c>
    </row>
    <row r="10" spans="1:7" hidden="1" x14ac:dyDescent="0.15">
      <c r="A10" t="s">
        <v>2042</v>
      </c>
      <c r="B10" s="15" t="str">
        <f>Screening!I10</f>
        <v>IQTR1955725309</v>
      </c>
      <c r="C10">
        <f>Screening!F10</f>
        <v>141.01</v>
      </c>
      <c r="D10">
        <f>Screening!L10</f>
        <v>4825.83</v>
      </c>
      <c r="E10">
        <f>Screening!N10</f>
        <v>10.6</v>
      </c>
      <c r="F10" s="16">
        <f t="shared" si="0"/>
        <v>13.302830188679245</v>
      </c>
      <c r="G10" s="16">
        <f>100*(E10/D10)</f>
        <v>0.21965133458907585</v>
      </c>
    </row>
    <row r="11" spans="1:7" hidden="1" x14ac:dyDescent="0.15">
      <c r="A11" t="s">
        <v>2043</v>
      </c>
      <c r="B11" s="15" t="str">
        <f>Screening!I11</f>
        <v>IQTR1863840995</v>
      </c>
      <c r="C11" t="str">
        <f>Screening!F11</f>
        <v>-</v>
      </c>
      <c r="D11">
        <f>Screening!L11</f>
        <v>4475</v>
      </c>
      <c r="E11">
        <f>Screening!N11</f>
        <v>776.9</v>
      </c>
      <c r="F11" t="e">
        <f t="shared" si="0"/>
        <v>#VALUE!</v>
      </c>
      <c r="G11">
        <f t="shared" si="1"/>
        <v>0.17360893854748602</v>
      </c>
    </row>
    <row r="12" spans="1:7" hidden="1" x14ac:dyDescent="0.15">
      <c r="A12" t="s">
        <v>2044</v>
      </c>
      <c r="B12" s="15" t="str">
        <f>Screening!I12</f>
        <v>IQTR1862954563</v>
      </c>
      <c r="C12">
        <f>Screening!F12</f>
        <v>129.05000000000001</v>
      </c>
      <c r="D12">
        <f>Screening!L12</f>
        <v>4475</v>
      </c>
      <c r="E12">
        <f>Screening!N12</f>
        <v>776.9</v>
      </c>
      <c r="F12" s="16">
        <f t="shared" si="0"/>
        <v>0.1661088943235938</v>
      </c>
      <c r="G12" s="16">
        <f>100*(E12/D12)</f>
        <v>17.360893854748603</v>
      </c>
    </row>
    <row r="13" spans="1:7" hidden="1" x14ac:dyDescent="0.15">
      <c r="A13" t="s">
        <v>2045</v>
      </c>
      <c r="B13" s="15" t="str">
        <f>Screening!I13</f>
        <v>IQTR1838306852</v>
      </c>
      <c r="C13">
        <f>Screening!F13</f>
        <v>70.67</v>
      </c>
      <c r="D13">
        <f>Screening!L13</f>
        <v>4301.3599999999997</v>
      </c>
      <c r="E13">
        <f>Screening!N13</f>
        <v>776.9</v>
      </c>
      <c r="F13" s="16">
        <f t="shared" si="0"/>
        <v>9.0964088042219074E-2</v>
      </c>
      <c r="G13" s="16">
        <f>100*(E13/D13)</f>
        <v>18.061729313519447</v>
      </c>
    </row>
    <row r="14" spans="1:7" hidden="1" x14ac:dyDescent="0.15">
      <c r="A14" t="s">
        <v>2046</v>
      </c>
      <c r="B14" s="15" t="str">
        <f>Screening!I14</f>
        <v>IQTR1929482728</v>
      </c>
      <c r="C14">
        <f>Screening!F14</f>
        <v>174</v>
      </c>
      <c r="D14">
        <f>Screening!L14</f>
        <v>4145.17</v>
      </c>
      <c r="E14">
        <f>Screening!N14</f>
        <v>668.9</v>
      </c>
      <c r="F14" s="16">
        <f t="shared" si="0"/>
        <v>0.26012856929286887</v>
      </c>
      <c r="G14" s="16">
        <f>100*(E14/D14)</f>
        <v>16.136853253304448</v>
      </c>
    </row>
    <row r="15" spans="1:7" hidden="1" x14ac:dyDescent="0.15">
      <c r="A15" t="s">
        <v>2047</v>
      </c>
      <c r="B15" s="15" t="str">
        <f>Screening!I15</f>
        <v>IQTR1850957260</v>
      </c>
      <c r="C15">
        <f>Screening!F15</f>
        <v>1678.11</v>
      </c>
      <c r="D15">
        <f>Screening!L15</f>
        <v>4057.13</v>
      </c>
      <c r="E15" t="str">
        <f>Screening!N15</f>
        <v>-</v>
      </c>
      <c r="F15" t="e">
        <f t="shared" si="0"/>
        <v>#VALUE!</v>
      </c>
      <c r="G15" t="e">
        <f t="shared" si="1"/>
        <v>#VALUE!</v>
      </c>
    </row>
    <row r="16" spans="1:7" hidden="1" x14ac:dyDescent="0.15">
      <c r="A16" t="s">
        <v>2048</v>
      </c>
      <c r="B16" s="15" t="str">
        <f>Screening!I16</f>
        <v>IQTR1785931677</v>
      </c>
      <c r="C16">
        <f>Screening!F16</f>
        <v>66.77</v>
      </c>
      <c r="D16">
        <f>Screening!L16</f>
        <v>3926.97</v>
      </c>
      <c r="E16">
        <f>Screening!N16</f>
        <v>776.9</v>
      </c>
      <c r="F16" s="16">
        <f>C16/E16</f>
        <v>8.5944136954563002E-2</v>
      </c>
      <c r="G16" s="16">
        <f>100*(E16/D16)</f>
        <v>19.783700919538475</v>
      </c>
    </row>
    <row r="17" spans="1:7" hidden="1" x14ac:dyDescent="0.15">
      <c r="A17" t="s">
        <v>2049</v>
      </c>
      <c r="B17" s="15" t="str">
        <f>Screening!I17</f>
        <v>IQTR1856318900</v>
      </c>
      <c r="C17">
        <f>Screening!F17</f>
        <v>30998.87</v>
      </c>
      <c r="D17">
        <f>Screening!L17</f>
        <v>3842.97</v>
      </c>
      <c r="E17" t="str">
        <f>Screening!N17</f>
        <v>-</v>
      </c>
      <c r="F17" t="e">
        <f t="shared" si="0"/>
        <v>#VALUE!</v>
      </c>
      <c r="G17" t="e">
        <f t="shared" si="1"/>
        <v>#VALUE!</v>
      </c>
    </row>
    <row r="18" spans="1:7" hidden="1" x14ac:dyDescent="0.15">
      <c r="A18" t="s">
        <v>2050</v>
      </c>
      <c r="B18" s="15" t="str">
        <f>Screening!I18</f>
        <v>IQTR1762042686</v>
      </c>
      <c r="C18">
        <f>Screening!F18</f>
        <v>102.35</v>
      </c>
      <c r="D18">
        <f>Screening!L18</f>
        <v>3841.83</v>
      </c>
      <c r="E18">
        <f>Screening!N18</f>
        <v>776.9</v>
      </c>
      <c r="F18" s="16">
        <f t="shared" si="0"/>
        <v>0.13174153687733298</v>
      </c>
      <c r="G18" s="16">
        <f>100*(E18/D18)</f>
        <v>20.222133722731094</v>
      </c>
    </row>
    <row r="19" spans="1:7" hidden="1" x14ac:dyDescent="0.15">
      <c r="A19" t="s">
        <v>2051</v>
      </c>
      <c r="B19" s="15" t="str">
        <f>Screening!I19</f>
        <v>IQTR1816233358</v>
      </c>
      <c r="C19">
        <f>Screening!F19</f>
        <v>45.4</v>
      </c>
      <c r="D19">
        <f>Screening!L19</f>
        <v>3694.6</v>
      </c>
      <c r="E19">
        <f>Screening!N19</f>
        <v>776.9</v>
      </c>
      <c r="F19" s="16">
        <f t="shared" si="0"/>
        <v>5.8437379328098851E-2</v>
      </c>
      <c r="G19" s="16">
        <f>100*(E19/D19)</f>
        <v>21.027986791533589</v>
      </c>
    </row>
    <row r="20" spans="1:7" hidden="1" x14ac:dyDescent="0.15">
      <c r="A20" t="s">
        <v>2052</v>
      </c>
      <c r="B20" s="15" t="str">
        <f>Screening!I20</f>
        <v>IQTR1680643570</v>
      </c>
      <c r="C20" t="str">
        <f>Screening!F20</f>
        <v>-</v>
      </c>
      <c r="D20">
        <f>Screening!L20</f>
        <v>3311.12</v>
      </c>
      <c r="E20">
        <f>Screening!N20</f>
        <v>396</v>
      </c>
      <c r="F20" t="e">
        <f t="shared" si="0"/>
        <v>#VALUE!</v>
      </c>
      <c r="G20">
        <f t="shared" si="1"/>
        <v>0.11959699437048492</v>
      </c>
    </row>
    <row r="21" spans="1:7" hidden="1" x14ac:dyDescent="0.15">
      <c r="A21" t="s">
        <v>2053</v>
      </c>
      <c r="B21" s="15" t="str">
        <f>Screening!I21</f>
        <v>IQTR1765987121</v>
      </c>
      <c r="C21">
        <f>Screening!F21</f>
        <v>17182.11</v>
      </c>
      <c r="D21">
        <f>Screening!L21</f>
        <v>3217.17</v>
      </c>
      <c r="E21" t="str">
        <f>Screening!N21</f>
        <v>-</v>
      </c>
      <c r="F21" t="e">
        <f t="shared" si="0"/>
        <v>#VALUE!</v>
      </c>
      <c r="G21" t="e">
        <f t="shared" si="1"/>
        <v>#VALUE!</v>
      </c>
    </row>
    <row r="22" spans="1:7" hidden="1" x14ac:dyDescent="0.15">
      <c r="A22" t="s">
        <v>2054</v>
      </c>
      <c r="B22" s="15" t="str">
        <f>Screening!I22</f>
        <v>IQTR1853829677</v>
      </c>
      <c r="C22" t="str">
        <f>Screening!F22</f>
        <v>-</v>
      </c>
      <c r="D22">
        <f>Screening!L22</f>
        <v>3164.63</v>
      </c>
      <c r="E22">
        <f>Screening!N22</f>
        <v>396</v>
      </c>
      <c r="F22" t="e">
        <f t="shared" si="0"/>
        <v>#VALUE!</v>
      </c>
      <c r="G22">
        <f t="shared" si="1"/>
        <v>0.12513311192777671</v>
      </c>
    </row>
    <row r="23" spans="1:7" hidden="1" x14ac:dyDescent="0.15">
      <c r="A23" t="s">
        <v>2055</v>
      </c>
      <c r="B23" s="15" t="str">
        <f>Screening!I23</f>
        <v>IQTR1798157276</v>
      </c>
      <c r="C23">
        <f>Screening!F23</f>
        <v>6477.38</v>
      </c>
      <c r="D23">
        <f>Screening!L23</f>
        <v>2743.8</v>
      </c>
      <c r="E23" t="str">
        <f>Screening!N23</f>
        <v>-</v>
      </c>
      <c r="F23" t="e">
        <f t="shared" si="0"/>
        <v>#VALUE!</v>
      </c>
      <c r="G23" t="e">
        <f t="shared" si="1"/>
        <v>#VALUE!</v>
      </c>
    </row>
    <row r="24" spans="1:7" hidden="1" x14ac:dyDescent="0.15">
      <c r="A24" t="s">
        <v>2056</v>
      </c>
      <c r="B24" s="15" t="str">
        <f>Screening!I24</f>
        <v>IQTR1821576629</v>
      </c>
      <c r="C24" t="str">
        <f>Screening!F24</f>
        <v>-</v>
      </c>
      <c r="D24">
        <f>Screening!L24</f>
        <v>2659.43</v>
      </c>
      <c r="E24">
        <f>Screening!N24</f>
        <v>282.7</v>
      </c>
      <c r="F24" t="e">
        <f t="shared" si="0"/>
        <v>#VALUE!</v>
      </c>
      <c r="G24">
        <f t="shared" si="1"/>
        <v>0.10630097426892229</v>
      </c>
    </row>
    <row r="25" spans="1:7" hidden="1" x14ac:dyDescent="0.15">
      <c r="A25" t="s">
        <v>2057</v>
      </c>
      <c r="B25" s="15" t="str">
        <f>Screening!I25</f>
        <v>IQTR1868555623</v>
      </c>
      <c r="C25">
        <f>Screening!F25</f>
        <v>35791.480000000003</v>
      </c>
      <c r="D25">
        <f>Screening!L25</f>
        <v>2583.1</v>
      </c>
      <c r="E25">
        <f>Screening!N25</f>
        <v>878</v>
      </c>
      <c r="F25" s="16">
        <f t="shared" si="0"/>
        <v>40.764783599088844</v>
      </c>
      <c r="G25" s="16">
        <f>100*(E25/D25)</f>
        <v>33.990166853780337</v>
      </c>
    </row>
    <row r="26" spans="1:7" hidden="1" x14ac:dyDescent="0.15">
      <c r="A26" t="s">
        <v>2058</v>
      </c>
      <c r="B26" s="15" t="str">
        <f>Screening!I26</f>
        <v>IQTR1902207620</v>
      </c>
      <c r="C26">
        <f>Screening!F26</f>
        <v>702</v>
      </c>
      <c r="D26">
        <f>Screening!L26</f>
        <v>2390.56</v>
      </c>
      <c r="E26">
        <f>Screening!N26</f>
        <v>209</v>
      </c>
      <c r="F26" s="16">
        <f t="shared" si="0"/>
        <v>3.3588516746411483</v>
      </c>
      <c r="G26" s="16">
        <f>100*(E26/D26)</f>
        <v>8.7427213707248512</v>
      </c>
    </row>
    <row r="27" spans="1:7" hidden="1" x14ac:dyDescent="0.15">
      <c r="A27" t="s">
        <v>2059</v>
      </c>
      <c r="B27" s="15" t="str">
        <f>Screening!I27</f>
        <v>IQTR1681724164</v>
      </c>
      <c r="C27" t="str">
        <f>Screening!F27</f>
        <v>-</v>
      </c>
      <c r="D27">
        <f>Screening!L27</f>
        <v>2377.81</v>
      </c>
      <c r="E27">
        <f>Screening!N27</f>
        <v>759.9</v>
      </c>
      <c r="F27" t="e">
        <f t="shared" si="0"/>
        <v>#VALUE!</v>
      </c>
      <c r="G27">
        <f t="shared" si="1"/>
        <v>0.31957978139548576</v>
      </c>
    </row>
    <row r="28" spans="1:7" hidden="1" x14ac:dyDescent="0.15">
      <c r="A28" t="s">
        <v>2060</v>
      </c>
      <c r="B28" s="15" t="str">
        <f>Screening!I28</f>
        <v>IQTR1890818396</v>
      </c>
      <c r="C28">
        <f>Screening!F28</f>
        <v>1239.77</v>
      </c>
      <c r="D28">
        <f>Screening!L28</f>
        <v>2178.56</v>
      </c>
      <c r="E28">
        <f>Screening!N28</f>
        <v>184.6</v>
      </c>
      <c r="F28" s="16">
        <f>C28/E28</f>
        <v>6.715980498374865</v>
      </c>
      <c r="G28" s="16">
        <f>100*(E28/D28)</f>
        <v>8.4734870740305528</v>
      </c>
    </row>
    <row r="29" spans="1:7" hidden="1" x14ac:dyDescent="0.15">
      <c r="A29" t="s">
        <v>2061</v>
      </c>
      <c r="B29" s="15" t="str">
        <f>Screening!I29</f>
        <v>IQTR1802771200</v>
      </c>
      <c r="C29" t="str">
        <f>Screening!F29</f>
        <v>-</v>
      </c>
      <c r="D29">
        <f>Screening!L29</f>
        <v>2177.1</v>
      </c>
      <c r="E29">
        <f>Screening!N29</f>
        <v>282.7</v>
      </c>
      <c r="F29" t="e">
        <f t="shared" si="0"/>
        <v>#VALUE!</v>
      </c>
      <c r="G29">
        <f t="shared" si="1"/>
        <v>0.12985163749942585</v>
      </c>
    </row>
    <row r="30" spans="1:7" hidden="1" x14ac:dyDescent="0.15">
      <c r="A30" t="s">
        <v>2062</v>
      </c>
      <c r="B30" s="15" t="str">
        <f>Screening!I30</f>
        <v>IQTR1685463254</v>
      </c>
      <c r="C30">
        <f>Screening!F30</f>
        <v>2500</v>
      </c>
      <c r="D30">
        <f>Screening!L30</f>
        <v>2035</v>
      </c>
      <c r="E30" t="str">
        <f>Screening!N30</f>
        <v>-</v>
      </c>
      <c r="F30" t="e">
        <f t="shared" si="0"/>
        <v>#VALUE!</v>
      </c>
      <c r="G30" t="e">
        <f t="shared" si="1"/>
        <v>#VALUE!</v>
      </c>
    </row>
    <row r="31" spans="1:7" hidden="1" x14ac:dyDescent="0.15">
      <c r="A31" t="s">
        <v>2063</v>
      </c>
      <c r="B31" s="15" t="str">
        <f>Screening!I31</f>
        <v>IQTR1904331229</v>
      </c>
      <c r="C31">
        <f>Screening!F31</f>
        <v>2987.11</v>
      </c>
      <c r="D31">
        <f>Screening!L31</f>
        <v>2019.35</v>
      </c>
      <c r="E31">
        <f>Screening!N31</f>
        <v>184.6</v>
      </c>
      <c r="F31" s="16">
        <f>C31/E31</f>
        <v>16.181527627302277</v>
      </c>
      <c r="G31" s="16">
        <f>100*(E31/D31)</f>
        <v>9.1415554510114649</v>
      </c>
    </row>
    <row r="32" spans="1:7" hidden="1" x14ac:dyDescent="0.15">
      <c r="A32" t="s">
        <v>2064</v>
      </c>
      <c r="B32" s="15" t="str">
        <f>Screening!I32</f>
        <v>IQTR1773626089</v>
      </c>
      <c r="C32" t="str">
        <f>Screening!F32</f>
        <v>-</v>
      </c>
      <c r="D32">
        <f>Screening!L32</f>
        <v>2000</v>
      </c>
      <c r="E32" t="str">
        <f>Screening!N32</f>
        <v>-</v>
      </c>
      <c r="F32" t="e">
        <f t="shared" si="0"/>
        <v>#VALUE!</v>
      </c>
      <c r="G32" t="e">
        <f t="shared" si="1"/>
        <v>#VALUE!</v>
      </c>
    </row>
    <row r="33" spans="1:7" hidden="1" x14ac:dyDescent="0.15">
      <c r="A33" t="s">
        <v>2065</v>
      </c>
      <c r="B33" s="15" t="str">
        <f>Screening!I33</f>
        <v>IQTR1757348954</v>
      </c>
      <c r="C33">
        <f>Screening!F33</f>
        <v>20862.21</v>
      </c>
      <c r="D33">
        <f>Screening!L33</f>
        <v>1826</v>
      </c>
      <c r="E33" t="str">
        <f>Screening!N33</f>
        <v>-</v>
      </c>
      <c r="F33" t="e">
        <f t="shared" si="0"/>
        <v>#VALUE!</v>
      </c>
      <c r="G33" t="e">
        <f t="shared" si="1"/>
        <v>#VALUE!</v>
      </c>
    </row>
    <row r="34" spans="1:7" hidden="1" x14ac:dyDescent="0.15">
      <c r="A34" t="s">
        <v>2066</v>
      </c>
      <c r="B34" s="15" t="str">
        <f>Screening!I34</f>
        <v>IQTR1930420741</v>
      </c>
      <c r="C34">
        <f>Screening!F34</f>
        <v>1010.8</v>
      </c>
      <c r="D34">
        <f>Screening!L34</f>
        <v>1801.51</v>
      </c>
      <c r="E34">
        <f>Screening!N34</f>
        <v>100.2</v>
      </c>
      <c r="F34" s="16">
        <f>C34/E34</f>
        <v>10.087824351297405</v>
      </c>
      <c r="G34" s="16">
        <f>100*(E34/D34)</f>
        <v>5.5620007660240578</v>
      </c>
    </row>
    <row r="35" spans="1:7" hidden="1" x14ac:dyDescent="0.15">
      <c r="A35" t="s">
        <v>2067</v>
      </c>
      <c r="B35" s="15" t="str">
        <f>Screening!I35</f>
        <v>IQTR1772509697</v>
      </c>
      <c r="C35">
        <f>Screening!F35</f>
        <v>291.2</v>
      </c>
      <c r="D35">
        <f>Screening!L35</f>
        <v>1766.63</v>
      </c>
      <c r="E35" t="str">
        <f>Screening!N35</f>
        <v>-</v>
      </c>
      <c r="F35" t="e">
        <f t="shared" si="0"/>
        <v>#VALUE!</v>
      </c>
      <c r="G35" t="e">
        <f t="shared" si="1"/>
        <v>#VALUE!</v>
      </c>
    </row>
    <row r="36" spans="1:7" hidden="1" x14ac:dyDescent="0.15">
      <c r="A36" t="s">
        <v>2068</v>
      </c>
      <c r="B36" s="15" t="str">
        <f>Screening!I36</f>
        <v>IQTR1777417497</v>
      </c>
      <c r="C36">
        <f>Screening!F36</f>
        <v>8340.7099999999991</v>
      </c>
      <c r="D36">
        <f>Screening!L36</f>
        <v>1756.5</v>
      </c>
      <c r="E36" t="str">
        <f>Screening!N36</f>
        <v>-</v>
      </c>
      <c r="F36" t="e">
        <f t="shared" si="0"/>
        <v>#VALUE!</v>
      </c>
      <c r="G36" t="e">
        <f t="shared" si="1"/>
        <v>#VALUE!</v>
      </c>
    </row>
    <row r="37" spans="1:7" hidden="1" x14ac:dyDescent="0.15">
      <c r="A37" t="s">
        <v>2069</v>
      </c>
      <c r="B37" s="15" t="str">
        <f>Screening!I37</f>
        <v>IQTR1818826920</v>
      </c>
      <c r="C37">
        <f>Screening!F37</f>
        <v>6570.02</v>
      </c>
      <c r="D37">
        <f>Screening!L37</f>
        <v>1747</v>
      </c>
      <c r="E37" t="str">
        <f>Screening!N37</f>
        <v>-</v>
      </c>
      <c r="F37" t="e">
        <f t="shared" si="0"/>
        <v>#VALUE!</v>
      </c>
      <c r="G37" t="e">
        <f t="shared" si="1"/>
        <v>#VALUE!</v>
      </c>
    </row>
    <row r="38" spans="1:7" hidden="1" x14ac:dyDescent="0.15">
      <c r="A38" t="s">
        <v>2070</v>
      </c>
      <c r="B38" s="15" t="str">
        <f>Screening!I38</f>
        <v>IQTR1760525650</v>
      </c>
      <c r="C38" t="str">
        <f>Screening!F38</f>
        <v>-</v>
      </c>
      <c r="D38">
        <f>Screening!L38</f>
        <v>1734.66</v>
      </c>
      <c r="E38" t="str">
        <f>Screening!N38</f>
        <v>-</v>
      </c>
      <c r="F38" t="e">
        <f t="shared" si="0"/>
        <v>#VALUE!</v>
      </c>
      <c r="G38" t="e">
        <f t="shared" si="1"/>
        <v>#VALUE!</v>
      </c>
    </row>
    <row r="39" spans="1:7" hidden="1" x14ac:dyDescent="0.15">
      <c r="A39" t="s">
        <v>2071</v>
      </c>
      <c r="B39" s="15" t="str">
        <f>Screening!I39</f>
        <v>IQTR1945143029</v>
      </c>
      <c r="C39">
        <f>Screening!F39</f>
        <v>10097.75</v>
      </c>
      <c r="D39">
        <f>Screening!L39</f>
        <v>1655.31</v>
      </c>
      <c r="E39">
        <f>Screening!N39</f>
        <v>280.89999999999998</v>
      </c>
      <c r="F39" s="16">
        <f>C39/E39</f>
        <v>35.947846208615168</v>
      </c>
      <c r="G39" s="16">
        <f>100*(E39/D39)</f>
        <v>16.969631066084297</v>
      </c>
    </row>
    <row r="40" spans="1:7" hidden="1" x14ac:dyDescent="0.15">
      <c r="A40" t="s">
        <v>2072</v>
      </c>
      <c r="B40" s="15" t="str">
        <f>Screening!I40</f>
        <v>IQTR1888824933</v>
      </c>
      <c r="C40">
        <f>Screening!F40</f>
        <v>803.5</v>
      </c>
      <c r="D40">
        <f>Screening!L40</f>
        <v>1613.63</v>
      </c>
      <c r="E40" t="str">
        <f>Screening!N40</f>
        <v>-</v>
      </c>
      <c r="F40" t="e">
        <f t="shared" si="0"/>
        <v>#VALUE!</v>
      </c>
      <c r="G40" t="e">
        <f t="shared" si="1"/>
        <v>#VALUE!</v>
      </c>
    </row>
    <row r="41" spans="1:7" hidden="1" x14ac:dyDescent="0.15">
      <c r="A41" t="s">
        <v>2073</v>
      </c>
      <c r="B41" s="15" t="str">
        <f>Screening!I41</f>
        <v>IQTR1887815986</v>
      </c>
      <c r="C41">
        <f>Screening!F41</f>
        <v>2217.86</v>
      </c>
      <c r="D41">
        <f>Screening!L41</f>
        <v>1613.63</v>
      </c>
      <c r="E41" t="str">
        <f>Screening!N41</f>
        <v>-</v>
      </c>
      <c r="F41" t="e">
        <f t="shared" si="0"/>
        <v>#VALUE!</v>
      </c>
      <c r="G41" t="e">
        <f t="shared" si="1"/>
        <v>#VALUE!</v>
      </c>
    </row>
    <row r="42" spans="1:7" hidden="1" x14ac:dyDescent="0.15">
      <c r="A42" t="s">
        <v>2074</v>
      </c>
      <c r="B42" s="15" t="str">
        <f>Screening!I42</f>
        <v>IQTR1781572984</v>
      </c>
      <c r="C42">
        <f>Screening!F42</f>
        <v>14772.33</v>
      </c>
      <c r="D42">
        <f>Screening!L42</f>
        <v>1551.9</v>
      </c>
      <c r="E42" t="str">
        <f>Screening!N42</f>
        <v>-</v>
      </c>
      <c r="F42" t="e">
        <f t="shared" si="0"/>
        <v>#VALUE!</v>
      </c>
      <c r="G42" t="e">
        <f t="shared" si="1"/>
        <v>#VALUE!</v>
      </c>
    </row>
    <row r="43" spans="1:7" hidden="1" x14ac:dyDescent="0.15">
      <c r="A43" t="s">
        <v>2075</v>
      </c>
      <c r="B43" s="15" t="str">
        <f>Screening!I43</f>
        <v>IQTR1775144551</v>
      </c>
      <c r="C43">
        <f>Screening!F43</f>
        <v>92.94</v>
      </c>
      <c r="D43">
        <f>Screening!L43</f>
        <v>1526.16</v>
      </c>
      <c r="E43">
        <f>Screening!N43</f>
        <v>131.4</v>
      </c>
      <c r="F43" s="16">
        <f t="shared" si="0"/>
        <v>0.70730593607305936</v>
      </c>
      <c r="G43" s="16">
        <f>100*(E43/D43)</f>
        <v>8.6098443151438904</v>
      </c>
    </row>
    <row r="44" spans="1:7" hidden="1" x14ac:dyDescent="0.15">
      <c r="A44" t="s">
        <v>2076</v>
      </c>
      <c r="B44" s="15" t="str">
        <f>Screening!I44</f>
        <v>IQTR2000373976</v>
      </c>
      <c r="C44">
        <f>Screening!F44</f>
        <v>942.2</v>
      </c>
      <c r="D44">
        <f>Screening!L44</f>
        <v>1506.97</v>
      </c>
      <c r="E44">
        <f>Screening!N44</f>
        <v>483.1</v>
      </c>
      <c r="F44" s="16">
        <f t="shared" si="0"/>
        <v>1.9503208445456428</v>
      </c>
      <c r="G44" s="16">
        <f>100*(E44/D44)</f>
        <v>32.057705196520168</v>
      </c>
    </row>
    <row r="45" spans="1:7" x14ac:dyDescent="0.15">
      <c r="A45" t="s">
        <v>2077</v>
      </c>
      <c r="B45" s="15" t="str">
        <f>Screening!I45</f>
        <v>IQTR1903250285</v>
      </c>
      <c r="C45">
        <f>Screening!F45</f>
        <v>1967.76</v>
      </c>
      <c r="D45">
        <f>Screening!L45</f>
        <v>1484.46</v>
      </c>
      <c r="E45">
        <f>Screening!N45</f>
        <v>167</v>
      </c>
      <c r="F45" s="16">
        <f>C45/E45</f>
        <v>11.782994011976047</v>
      </c>
      <c r="G45" s="16">
        <f>100*(E45/D45)</f>
        <v>11.249882112013795</v>
      </c>
    </row>
    <row r="46" spans="1:7" hidden="1" x14ac:dyDescent="0.15">
      <c r="A46" t="s">
        <v>2078</v>
      </c>
      <c r="B46" s="15" t="str">
        <f>Screening!I46</f>
        <v>IQTR1829326219</v>
      </c>
      <c r="C46">
        <f>Screening!F46</f>
        <v>11166.16</v>
      </c>
      <c r="D46">
        <f>Screening!L46</f>
        <v>1458.63</v>
      </c>
      <c r="E46" t="str">
        <f>Screening!N46</f>
        <v>-</v>
      </c>
      <c r="F46" t="e">
        <f t="shared" si="0"/>
        <v>#VALUE!</v>
      </c>
      <c r="G46" t="e">
        <f t="shared" si="1"/>
        <v>#VALUE!</v>
      </c>
    </row>
    <row r="47" spans="1:7" hidden="1" x14ac:dyDescent="0.15">
      <c r="A47" t="s">
        <v>2079</v>
      </c>
      <c r="B47" s="15" t="str">
        <f>Screening!I47</f>
        <v>IQTR1788006790</v>
      </c>
      <c r="C47">
        <f>Screening!F47</f>
        <v>10989.54</v>
      </c>
      <c r="D47">
        <f>Screening!L47</f>
        <v>1428.88</v>
      </c>
      <c r="E47" t="str">
        <f>Screening!N47</f>
        <v>-</v>
      </c>
      <c r="F47" t="e">
        <f t="shared" si="0"/>
        <v>#VALUE!</v>
      </c>
      <c r="G47" t="e">
        <f t="shared" si="1"/>
        <v>#VALUE!</v>
      </c>
    </row>
    <row r="48" spans="1:7" hidden="1" x14ac:dyDescent="0.15">
      <c r="A48" t="s">
        <v>2080</v>
      </c>
      <c r="B48" s="15" t="str">
        <f>Screening!I48</f>
        <v>IQTR1981910022</v>
      </c>
      <c r="C48" t="str">
        <f>Screening!F48</f>
        <v>-</v>
      </c>
      <c r="D48">
        <f>Screening!L48</f>
        <v>1400.21</v>
      </c>
      <c r="E48">
        <f>Screening!N48</f>
        <v>66.3</v>
      </c>
      <c r="F48" t="e">
        <f t="shared" si="0"/>
        <v>#VALUE!</v>
      </c>
      <c r="G48">
        <f t="shared" si="1"/>
        <v>4.7350040351090188E-2</v>
      </c>
    </row>
    <row r="49" spans="1:7" hidden="1" x14ac:dyDescent="0.15">
      <c r="A49" t="s">
        <v>2081</v>
      </c>
      <c r="B49" s="15" t="str">
        <f>Screening!I49</f>
        <v>IQTR1801227134</v>
      </c>
      <c r="C49">
        <f>Screening!F49</f>
        <v>4683.21</v>
      </c>
      <c r="D49">
        <f>Screening!L49</f>
        <v>1399.44</v>
      </c>
      <c r="E49" t="str">
        <f>Screening!N49</f>
        <v>-</v>
      </c>
      <c r="F49" t="e">
        <f t="shared" si="0"/>
        <v>#VALUE!</v>
      </c>
      <c r="G49" t="e">
        <f t="shared" si="1"/>
        <v>#VALUE!</v>
      </c>
    </row>
    <row r="50" spans="1:7" x14ac:dyDescent="0.15">
      <c r="A50" t="s">
        <v>2082</v>
      </c>
      <c r="B50" s="15" t="str">
        <f>Screening!I50</f>
        <v>IQTR1781913531</v>
      </c>
      <c r="C50">
        <f>Screening!F50</f>
        <v>7543.48</v>
      </c>
      <c r="D50">
        <f>Screening!L50</f>
        <v>1386.92</v>
      </c>
      <c r="E50">
        <f>Screening!N50</f>
        <v>750.3</v>
      </c>
      <c r="F50" s="16">
        <f>C50/E50</f>
        <v>10.05395175263228</v>
      </c>
      <c r="G50" s="16">
        <f>100*(E50/D50)</f>
        <v>54.098289735529079</v>
      </c>
    </row>
    <row r="51" spans="1:7" hidden="1" x14ac:dyDescent="0.15">
      <c r="A51" t="s">
        <v>2083</v>
      </c>
      <c r="B51" s="15" t="str">
        <f>Screening!I51</f>
        <v>IQTR1887698908</v>
      </c>
      <c r="C51">
        <f>Screening!F51</f>
        <v>4407.6499999999996</v>
      </c>
      <c r="D51">
        <f>Screening!L51</f>
        <v>1307.7</v>
      </c>
      <c r="E51" t="str">
        <f>Screening!N51</f>
        <v>-</v>
      </c>
      <c r="F51" t="e">
        <f t="shared" si="0"/>
        <v>#VALUE!</v>
      </c>
      <c r="G51" t="e">
        <f t="shared" si="1"/>
        <v>#VALUE!</v>
      </c>
    </row>
    <row r="52" spans="1:7" hidden="1" x14ac:dyDescent="0.15">
      <c r="A52" t="s">
        <v>2084</v>
      </c>
      <c r="B52" s="15" t="str">
        <f>Screening!I52</f>
        <v>IQTR1841667695</v>
      </c>
      <c r="C52" t="str">
        <f>Screening!F52</f>
        <v>-</v>
      </c>
      <c r="D52">
        <f>Screening!L52</f>
        <v>1304.5</v>
      </c>
      <c r="E52">
        <f>Screening!N52</f>
        <v>19</v>
      </c>
      <c r="F52" t="e">
        <f t="shared" si="0"/>
        <v>#VALUE!</v>
      </c>
      <c r="G52">
        <f t="shared" si="1"/>
        <v>1.4564967420467612E-2</v>
      </c>
    </row>
    <row r="53" spans="1:7" hidden="1" x14ac:dyDescent="0.15">
      <c r="A53" t="s">
        <v>2085</v>
      </c>
      <c r="B53" s="15" t="str">
        <f>Screening!I53</f>
        <v>IQTR1759281617</v>
      </c>
      <c r="C53">
        <f>Screening!F53</f>
        <v>6364.26</v>
      </c>
      <c r="D53">
        <f>Screening!L53</f>
        <v>1295.67</v>
      </c>
      <c r="E53" t="str">
        <f>Screening!N53</f>
        <v>-</v>
      </c>
      <c r="F53" t="e">
        <f t="shared" si="0"/>
        <v>#VALUE!</v>
      </c>
      <c r="G53" t="e">
        <f t="shared" si="1"/>
        <v>#VALUE!</v>
      </c>
    </row>
    <row r="54" spans="1:7" hidden="1" x14ac:dyDescent="0.15">
      <c r="A54" t="s">
        <v>2086</v>
      </c>
      <c r="B54" s="15" t="str">
        <f>Screening!I54</f>
        <v>IQTR1903241894</v>
      </c>
      <c r="C54">
        <f>Screening!F54</f>
        <v>0.25</v>
      </c>
      <c r="D54">
        <f>Screening!L54</f>
        <v>1283.99</v>
      </c>
      <c r="E54">
        <f>Screening!N54</f>
        <v>3789</v>
      </c>
      <c r="F54" s="16">
        <f t="shared" si="0"/>
        <v>6.5980469780944846E-5</v>
      </c>
      <c r="G54" s="16">
        <f>100*(E54/D54)</f>
        <v>295.09575619747818</v>
      </c>
    </row>
    <row r="55" spans="1:7" hidden="1" x14ac:dyDescent="0.15">
      <c r="A55" t="s">
        <v>2087</v>
      </c>
      <c r="B55" s="15" t="str">
        <f>Screening!I55</f>
        <v>IQTR1955108370</v>
      </c>
      <c r="C55">
        <f>Screening!F55</f>
        <v>26153.37</v>
      </c>
      <c r="D55">
        <f>Screening!L55</f>
        <v>1200.1199999999999</v>
      </c>
      <c r="E55">
        <f>Screening!N55</f>
        <v>-2.9</v>
      </c>
      <c r="F55" s="16">
        <f t="shared" si="0"/>
        <v>-9018.4034482758616</v>
      </c>
      <c r="G55" s="16">
        <f>100*(E55/D55)</f>
        <v>-0.24164250241642504</v>
      </c>
    </row>
    <row r="56" spans="1:7" hidden="1" x14ac:dyDescent="0.15">
      <c r="A56" t="s">
        <v>2088</v>
      </c>
      <c r="B56" s="15" t="str">
        <f>Screening!I56</f>
        <v>IQTR1888394514</v>
      </c>
      <c r="C56">
        <f>Screening!F56</f>
        <v>654.83000000000004</v>
      </c>
      <c r="D56">
        <f>Screening!L56</f>
        <v>1146.93</v>
      </c>
      <c r="E56" t="str">
        <f>Screening!N56</f>
        <v>-</v>
      </c>
      <c r="F56" t="e">
        <f t="shared" si="0"/>
        <v>#VALUE!</v>
      </c>
      <c r="G56" t="e">
        <f t="shared" si="1"/>
        <v>#VALUE!</v>
      </c>
    </row>
    <row r="57" spans="1:7" x14ac:dyDescent="0.15">
      <c r="A57" t="s">
        <v>2089</v>
      </c>
      <c r="B57" s="15" t="str">
        <f>Screening!I57</f>
        <v>IQTR1903107882</v>
      </c>
      <c r="C57">
        <f>Screening!F57</f>
        <v>7350.58</v>
      </c>
      <c r="D57">
        <f>Screening!L57</f>
        <v>1140.44</v>
      </c>
      <c r="E57">
        <f>Screening!N57</f>
        <v>437.4</v>
      </c>
      <c r="F57" s="16">
        <f t="shared" si="0"/>
        <v>16.805166895290352</v>
      </c>
      <c r="G57" s="16">
        <f>100*(E57/D57)</f>
        <v>38.353617901862435</v>
      </c>
    </row>
    <row r="58" spans="1:7" hidden="1" x14ac:dyDescent="0.15">
      <c r="A58" t="s">
        <v>2090</v>
      </c>
      <c r="B58" s="15" t="str">
        <f>Screening!I58</f>
        <v>IQTR1973474553</v>
      </c>
      <c r="C58">
        <f>Screening!F58</f>
        <v>12753.02</v>
      </c>
      <c r="D58">
        <f>Screening!L58</f>
        <v>1113.1500000000001</v>
      </c>
      <c r="E58">
        <f>Screening!N58</f>
        <v>-338</v>
      </c>
      <c r="F58" s="16">
        <f t="shared" si="0"/>
        <v>-37.730828402366868</v>
      </c>
      <c r="G58" s="16">
        <f>100*(E58/D58)</f>
        <v>-30.364281543367916</v>
      </c>
    </row>
    <row r="59" spans="1:7" hidden="1" x14ac:dyDescent="0.15">
      <c r="A59" t="s">
        <v>2091</v>
      </c>
      <c r="B59" s="15" t="str">
        <f>Screening!I59</f>
        <v>IQTR1880889937</v>
      </c>
      <c r="C59">
        <f>Screening!F59</f>
        <v>7628.31</v>
      </c>
      <c r="D59">
        <f>Screening!L59</f>
        <v>1105.7</v>
      </c>
      <c r="E59" t="str">
        <f>Screening!N59</f>
        <v>-</v>
      </c>
      <c r="F59" t="e">
        <f t="shared" si="0"/>
        <v>#VALUE!</v>
      </c>
      <c r="G59" t="e">
        <f t="shared" si="1"/>
        <v>#VALUE!</v>
      </c>
    </row>
    <row r="60" spans="1:7" hidden="1" x14ac:dyDescent="0.15">
      <c r="A60" t="s">
        <v>2092</v>
      </c>
      <c r="B60" s="15" t="str">
        <f>Screening!I60</f>
        <v>IQTR1834779592</v>
      </c>
      <c r="C60">
        <f>Screening!F60</f>
        <v>2819.49</v>
      </c>
      <c r="D60">
        <f>Screening!L60</f>
        <v>1074.5</v>
      </c>
      <c r="E60" t="str">
        <f>Screening!N60</f>
        <v>-</v>
      </c>
      <c r="F60" t="e">
        <f t="shared" si="0"/>
        <v>#VALUE!</v>
      </c>
      <c r="G60" t="e">
        <f t="shared" si="1"/>
        <v>#VALUE!</v>
      </c>
    </row>
    <row r="61" spans="1:7" hidden="1" x14ac:dyDescent="0.15">
      <c r="A61" t="s">
        <v>2093</v>
      </c>
      <c r="B61" s="15" t="str">
        <f>Screening!I61</f>
        <v>IQTR1870160384</v>
      </c>
      <c r="C61">
        <f>Screening!F61</f>
        <v>172.56</v>
      </c>
      <c r="D61">
        <f>Screening!L61</f>
        <v>1049.43</v>
      </c>
      <c r="E61" t="str">
        <f>Screening!N61</f>
        <v>-</v>
      </c>
      <c r="F61" t="e">
        <f t="shared" si="0"/>
        <v>#VALUE!</v>
      </c>
      <c r="G61" t="e">
        <f t="shared" si="1"/>
        <v>#VALUE!</v>
      </c>
    </row>
    <row r="62" spans="1:7" hidden="1" x14ac:dyDescent="0.15">
      <c r="A62" t="s">
        <v>2094</v>
      </c>
      <c r="B62" s="15" t="str">
        <f>Screening!I62</f>
        <v>IQTR1859816481</v>
      </c>
      <c r="C62" t="str">
        <f>Screening!F62</f>
        <v>-</v>
      </c>
      <c r="D62">
        <f>Screening!L62</f>
        <v>1049.43</v>
      </c>
      <c r="E62" t="str">
        <f>Screening!N62</f>
        <v>-</v>
      </c>
      <c r="F62" t="e">
        <f t="shared" si="0"/>
        <v>#VALUE!</v>
      </c>
      <c r="G62" t="e">
        <f t="shared" si="1"/>
        <v>#VALUE!</v>
      </c>
    </row>
    <row r="63" spans="1:7" hidden="1" x14ac:dyDescent="0.15">
      <c r="A63" t="s">
        <v>2095</v>
      </c>
      <c r="B63" s="15" t="str">
        <f>Screening!I63</f>
        <v>IQTR1898365319</v>
      </c>
      <c r="C63">
        <f>Screening!F63</f>
        <v>7989.56</v>
      </c>
      <c r="D63">
        <f>Screening!L63</f>
        <v>1042.26</v>
      </c>
      <c r="E63">
        <f>Screening!N63</f>
        <v>-22.2</v>
      </c>
      <c r="F63" s="16">
        <f>C63/E63</f>
        <v>-359.8900900900901</v>
      </c>
      <c r="G63" s="16">
        <f>100*(E63/D63)</f>
        <v>-2.1299867595417648</v>
      </c>
    </row>
    <row r="64" spans="1:7" hidden="1" x14ac:dyDescent="0.15">
      <c r="A64" t="s">
        <v>2096</v>
      </c>
      <c r="B64" s="15" t="str">
        <f>Screening!I64</f>
        <v>IQTR1890448244</v>
      </c>
      <c r="C64">
        <f>Screening!F64</f>
        <v>642.04</v>
      </c>
      <c r="D64">
        <f>Screening!L64</f>
        <v>1032.81</v>
      </c>
      <c r="E64" t="str">
        <f>Screening!N64</f>
        <v>-</v>
      </c>
      <c r="F64" t="e">
        <f t="shared" si="0"/>
        <v>#VALUE!</v>
      </c>
      <c r="G64" t="e">
        <f t="shared" si="1"/>
        <v>#VALUE!</v>
      </c>
    </row>
    <row r="65" spans="1:7" hidden="1" x14ac:dyDescent="0.15">
      <c r="A65" t="s">
        <v>2097</v>
      </c>
      <c r="B65" s="15" t="str">
        <f>Screening!I65</f>
        <v>IQTR1868785095</v>
      </c>
      <c r="C65">
        <f>Screening!F65</f>
        <v>188.18</v>
      </c>
      <c r="D65">
        <f>Screening!L65</f>
        <v>1015.65</v>
      </c>
      <c r="E65">
        <f>Screening!N65</f>
        <v>-13.6</v>
      </c>
      <c r="F65" s="16">
        <f>C65/E65</f>
        <v>-13.836764705882354</v>
      </c>
      <c r="G65" s="16">
        <f>100*(E65/D65)</f>
        <v>-1.3390439619947816</v>
      </c>
    </row>
    <row r="66" spans="1:7" hidden="1" x14ac:dyDescent="0.15">
      <c r="A66" t="s">
        <v>2098</v>
      </c>
      <c r="B66" s="15" t="str">
        <f>Screening!I66</f>
        <v>IQTR1888805094</v>
      </c>
      <c r="C66" t="str">
        <f>Screening!F66</f>
        <v>-</v>
      </c>
      <c r="D66">
        <f>Screening!L66</f>
        <v>970.37</v>
      </c>
      <c r="E66" t="str">
        <f>Screening!N66</f>
        <v>-</v>
      </c>
      <c r="F66" t="e">
        <f t="shared" si="0"/>
        <v>#VALUE!</v>
      </c>
      <c r="G66" t="e">
        <f t="shared" si="1"/>
        <v>#VALUE!</v>
      </c>
    </row>
    <row r="67" spans="1:7" hidden="1" x14ac:dyDescent="0.15">
      <c r="A67" t="s">
        <v>2099</v>
      </c>
      <c r="B67" s="15" t="str">
        <f>Screening!I67</f>
        <v>IQTR1685197722</v>
      </c>
      <c r="C67">
        <f>Screening!F67</f>
        <v>336.88</v>
      </c>
      <c r="D67">
        <f>Screening!L67</f>
        <v>952.34</v>
      </c>
      <c r="E67" t="str">
        <f>Screening!N67</f>
        <v>-</v>
      </c>
      <c r="F67" t="e">
        <f t="shared" ref="F67:F130" si="2">C67/E67</f>
        <v>#VALUE!</v>
      </c>
      <c r="G67" t="e">
        <f t="shared" ref="G67:G128" si="3">E67/D67</f>
        <v>#VALUE!</v>
      </c>
    </row>
    <row r="68" spans="1:7" hidden="1" x14ac:dyDescent="0.15">
      <c r="A68" t="s">
        <v>2100</v>
      </c>
      <c r="B68" s="15" t="str">
        <f>Screening!I68</f>
        <v>IQTR1849534437</v>
      </c>
      <c r="C68">
        <f>Screening!F68</f>
        <v>7054.24</v>
      </c>
      <c r="D68">
        <f>Screening!L68</f>
        <v>951.8</v>
      </c>
      <c r="E68" t="str">
        <f>Screening!N68</f>
        <v>-</v>
      </c>
      <c r="F68" t="e">
        <f t="shared" si="2"/>
        <v>#VALUE!</v>
      </c>
      <c r="G68" t="e">
        <f t="shared" si="3"/>
        <v>#VALUE!</v>
      </c>
    </row>
    <row r="69" spans="1:7" hidden="1" x14ac:dyDescent="0.15">
      <c r="A69" t="s">
        <v>2101</v>
      </c>
      <c r="B69" s="15" t="str">
        <f>Screening!I69</f>
        <v>IQTR1865270098</v>
      </c>
      <c r="C69">
        <f>Screening!F69</f>
        <v>5027.93</v>
      </c>
      <c r="D69">
        <f>Screening!L69</f>
        <v>920.35</v>
      </c>
      <c r="E69" t="str">
        <f>Screening!N69</f>
        <v>-</v>
      </c>
      <c r="F69" t="e">
        <f t="shared" si="2"/>
        <v>#VALUE!</v>
      </c>
      <c r="G69" t="e">
        <f t="shared" si="3"/>
        <v>#VALUE!</v>
      </c>
    </row>
    <row r="70" spans="1:7" hidden="1" x14ac:dyDescent="0.15">
      <c r="A70" t="s">
        <v>2102</v>
      </c>
      <c r="B70" s="15" t="str">
        <f>Screening!I70</f>
        <v>IQTR1763140911</v>
      </c>
      <c r="C70">
        <f>Screening!F70</f>
        <v>880.47</v>
      </c>
      <c r="D70">
        <f>Screening!L70</f>
        <v>909.81</v>
      </c>
      <c r="E70" t="str">
        <f>Screening!N70</f>
        <v>-</v>
      </c>
      <c r="F70" t="e">
        <f t="shared" si="2"/>
        <v>#VALUE!</v>
      </c>
      <c r="G70" t="e">
        <f t="shared" si="3"/>
        <v>#VALUE!</v>
      </c>
    </row>
    <row r="71" spans="1:7" hidden="1" x14ac:dyDescent="0.15">
      <c r="A71" t="s">
        <v>2103</v>
      </c>
      <c r="B71" s="15" t="str">
        <f>Screening!I71</f>
        <v>IQTR1880250753</v>
      </c>
      <c r="C71">
        <f>Screening!F71</f>
        <v>2877.57</v>
      </c>
      <c r="D71">
        <f>Screening!L71</f>
        <v>906.54</v>
      </c>
      <c r="E71" t="str">
        <f>Screening!N71</f>
        <v>-</v>
      </c>
      <c r="F71" t="e">
        <f t="shared" si="2"/>
        <v>#VALUE!</v>
      </c>
      <c r="G71" t="e">
        <f t="shared" si="3"/>
        <v>#VALUE!</v>
      </c>
    </row>
    <row r="72" spans="1:7" hidden="1" x14ac:dyDescent="0.15">
      <c r="A72" t="s">
        <v>2104</v>
      </c>
      <c r="B72" s="15" t="str">
        <f>Screening!I72</f>
        <v>IQTR1958114138</v>
      </c>
      <c r="C72">
        <f>Screening!F72</f>
        <v>2233.83</v>
      </c>
      <c r="D72">
        <f>Screening!L72</f>
        <v>893.84</v>
      </c>
      <c r="E72" t="str">
        <f>Screening!N72</f>
        <v>-</v>
      </c>
      <c r="F72" t="e">
        <f t="shared" si="2"/>
        <v>#VALUE!</v>
      </c>
      <c r="G72" t="e">
        <f t="shared" si="3"/>
        <v>#VALUE!</v>
      </c>
    </row>
    <row r="73" spans="1:7" hidden="1" x14ac:dyDescent="0.15">
      <c r="A73" t="s">
        <v>2105</v>
      </c>
      <c r="B73" s="15" t="str">
        <f>Screening!I73</f>
        <v>IQTR1887388288</v>
      </c>
      <c r="C73" t="str">
        <f>Screening!F73</f>
        <v>-</v>
      </c>
      <c r="D73">
        <f>Screening!L73</f>
        <v>874.25</v>
      </c>
      <c r="E73">
        <f>Screening!N73</f>
        <v>390.5</v>
      </c>
      <c r="F73" t="e">
        <f t="shared" si="2"/>
        <v>#VALUE!</v>
      </c>
      <c r="G73">
        <f t="shared" si="3"/>
        <v>0.44666857306262508</v>
      </c>
    </row>
    <row r="74" spans="1:7" hidden="1" x14ac:dyDescent="0.15">
      <c r="A74" t="s">
        <v>2106</v>
      </c>
      <c r="B74" s="15" t="str">
        <f>Screening!I74</f>
        <v>IQTR1886607085</v>
      </c>
      <c r="C74">
        <f>Screening!F74</f>
        <v>2959.77</v>
      </c>
      <c r="D74">
        <f>Screening!L74</f>
        <v>863.38</v>
      </c>
      <c r="E74" t="str">
        <f>Screening!N74</f>
        <v>-</v>
      </c>
      <c r="F74" t="e">
        <f t="shared" si="2"/>
        <v>#VALUE!</v>
      </c>
      <c r="G74" t="e">
        <f t="shared" si="3"/>
        <v>#VALUE!</v>
      </c>
    </row>
    <row r="75" spans="1:7" hidden="1" x14ac:dyDescent="0.15">
      <c r="A75" t="s">
        <v>2107</v>
      </c>
      <c r="B75" s="15" t="str">
        <f>Screening!I75</f>
        <v>IQTR1818367875</v>
      </c>
      <c r="C75">
        <f>Screening!F75</f>
        <v>9053.7199999999993</v>
      </c>
      <c r="D75">
        <f>Screening!L75</f>
        <v>818.11</v>
      </c>
      <c r="E75" t="str">
        <f>Screening!N75</f>
        <v>-</v>
      </c>
      <c r="F75" t="e">
        <f t="shared" si="2"/>
        <v>#VALUE!</v>
      </c>
      <c r="G75" t="e">
        <f t="shared" si="3"/>
        <v>#VALUE!</v>
      </c>
    </row>
    <row r="76" spans="1:7" hidden="1" x14ac:dyDescent="0.15">
      <c r="A76" t="s">
        <v>2108</v>
      </c>
      <c r="B76" s="15" t="str">
        <f>Screening!I76</f>
        <v>IQTR1681371335</v>
      </c>
      <c r="C76">
        <f>Screening!F76</f>
        <v>11761.32</v>
      </c>
      <c r="D76">
        <f>Screening!L76</f>
        <v>800</v>
      </c>
      <c r="E76" t="str">
        <f>Screening!N76</f>
        <v>-</v>
      </c>
      <c r="F76" t="e">
        <f t="shared" si="2"/>
        <v>#VALUE!</v>
      </c>
      <c r="G76" t="e">
        <f t="shared" si="3"/>
        <v>#VALUE!</v>
      </c>
    </row>
    <row r="77" spans="1:7" x14ac:dyDescent="0.15">
      <c r="A77" t="s">
        <v>2109</v>
      </c>
      <c r="B77" s="15" t="str">
        <f>Screening!I77</f>
        <v>IQTR1930453238</v>
      </c>
      <c r="C77">
        <f>Screening!F77</f>
        <v>4678.82</v>
      </c>
      <c r="D77">
        <f>Screening!L77</f>
        <v>796.9</v>
      </c>
      <c r="E77">
        <f>Screening!N77</f>
        <v>273.5</v>
      </c>
      <c r="F77" s="16">
        <f>C77/E77</f>
        <v>17.107202925045701</v>
      </c>
      <c r="G77" s="16">
        <f>100*(E77/D77)</f>
        <v>34.320491906136283</v>
      </c>
    </row>
    <row r="78" spans="1:7" hidden="1" x14ac:dyDescent="0.15">
      <c r="A78" t="s">
        <v>2110</v>
      </c>
      <c r="B78" s="15" t="str">
        <f>Screening!I78</f>
        <v>IQTR1795821068</v>
      </c>
      <c r="C78">
        <f>Screening!F78</f>
        <v>9831.35</v>
      </c>
      <c r="D78">
        <f>Screening!L78</f>
        <v>789.43</v>
      </c>
      <c r="E78" t="str">
        <f>Screening!N78</f>
        <v>-</v>
      </c>
      <c r="F78" t="e">
        <f t="shared" si="2"/>
        <v>#VALUE!</v>
      </c>
      <c r="G78" t="e">
        <f t="shared" si="3"/>
        <v>#VALUE!</v>
      </c>
    </row>
    <row r="79" spans="1:7" hidden="1" x14ac:dyDescent="0.15">
      <c r="A79" t="s">
        <v>2111</v>
      </c>
      <c r="B79" s="15" t="str">
        <f>Screening!I79</f>
        <v>IQTR1966885655</v>
      </c>
      <c r="C79">
        <f>Screening!F79</f>
        <v>296.88</v>
      </c>
      <c r="D79">
        <f>Screening!L79</f>
        <v>783.55</v>
      </c>
      <c r="E79">
        <f>Screening!N79</f>
        <v>52.5</v>
      </c>
      <c r="F79" s="16">
        <f t="shared" si="2"/>
        <v>5.6548571428571428</v>
      </c>
      <c r="G79" s="16">
        <f>100*(E79/D79)</f>
        <v>6.700274392189395</v>
      </c>
    </row>
    <row r="80" spans="1:7" hidden="1" x14ac:dyDescent="0.15">
      <c r="A80" t="s">
        <v>2112</v>
      </c>
      <c r="B80" s="15" t="str">
        <f>Screening!I80</f>
        <v>IQTR1988620140</v>
      </c>
      <c r="C80">
        <f>Screening!F80</f>
        <v>139.57</v>
      </c>
      <c r="D80">
        <f>Screening!L80</f>
        <v>783.55</v>
      </c>
      <c r="E80">
        <f>Screening!N80</f>
        <v>52.5</v>
      </c>
      <c r="F80" s="16">
        <f t="shared" si="2"/>
        <v>2.6584761904761902</v>
      </c>
      <c r="G80" s="16">
        <f>100*(E80/D80)</f>
        <v>6.700274392189395</v>
      </c>
    </row>
    <row r="81" spans="1:7" hidden="1" x14ac:dyDescent="0.15">
      <c r="A81" t="s">
        <v>2113</v>
      </c>
      <c r="B81" s="15" t="str">
        <f>Screening!I81</f>
        <v>IQTR1980096310</v>
      </c>
      <c r="C81">
        <f>Screening!F81</f>
        <v>275.74</v>
      </c>
      <c r="D81">
        <f>Screening!L81</f>
        <v>780</v>
      </c>
      <c r="E81" t="str">
        <f>Screening!N81</f>
        <v>-</v>
      </c>
      <c r="F81" t="e">
        <f t="shared" si="2"/>
        <v>#VALUE!</v>
      </c>
      <c r="G81" t="e">
        <f t="shared" si="3"/>
        <v>#VALUE!</v>
      </c>
    </row>
    <row r="82" spans="1:7" hidden="1" x14ac:dyDescent="0.15">
      <c r="A82" t="s">
        <v>2114</v>
      </c>
      <c r="B82" s="15" t="str">
        <f>Screening!I82</f>
        <v>IQTR1841959978</v>
      </c>
      <c r="C82">
        <f>Screening!F82</f>
        <v>4484.95</v>
      </c>
      <c r="D82">
        <f>Screening!L82</f>
        <v>770.83</v>
      </c>
      <c r="E82" t="str">
        <f>Screening!N82</f>
        <v>-</v>
      </c>
      <c r="F82" t="e">
        <f t="shared" si="2"/>
        <v>#VALUE!</v>
      </c>
      <c r="G82" t="e">
        <f t="shared" si="3"/>
        <v>#VALUE!</v>
      </c>
    </row>
    <row r="83" spans="1:7" hidden="1" x14ac:dyDescent="0.15">
      <c r="A83" t="s">
        <v>2115</v>
      </c>
      <c r="B83" s="15" t="str">
        <f>Screening!I83</f>
        <v>IQTR2000553888</v>
      </c>
      <c r="C83">
        <f>Screening!F83</f>
        <v>118.3</v>
      </c>
      <c r="D83">
        <f>Screening!L83</f>
        <v>763.63</v>
      </c>
      <c r="E83">
        <f>Screening!N83</f>
        <v>91.3</v>
      </c>
      <c r="F83" s="16">
        <f>C83/E83</f>
        <v>1.2957283680175247</v>
      </c>
      <c r="G83" s="16">
        <f>100*(E83/D83)</f>
        <v>11.95605201471917</v>
      </c>
    </row>
    <row r="84" spans="1:7" hidden="1" x14ac:dyDescent="0.15">
      <c r="A84" t="s">
        <v>2116</v>
      </c>
      <c r="B84" s="15" t="str">
        <f>Screening!I84</f>
        <v>IQTR1885559196</v>
      </c>
      <c r="C84">
        <f>Screening!F84</f>
        <v>831.85</v>
      </c>
      <c r="D84">
        <f>Screening!L84</f>
        <v>735.63</v>
      </c>
      <c r="E84" t="str">
        <f>Screening!N84</f>
        <v>-</v>
      </c>
      <c r="F84" t="e">
        <f t="shared" si="2"/>
        <v>#VALUE!</v>
      </c>
      <c r="G84" t="e">
        <f t="shared" si="3"/>
        <v>#VALUE!</v>
      </c>
    </row>
    <row r="85" spans="1:7" hidden="1" x14ac:dyDescent="0.15">
      <c r="A85" t="s">
        <v>2117</v>
      </c>
      <c r="B85" s="15" t="str">
        <f>Screening!I85</f>
        <v>IQTR1684909762</v>
      </c>
      <c r="C85">
        <f>Screening!F85</f>
        <v>6339.12</v>
      </c>
      <c r="D85">
        <f>Screening!L85</f>
        <v>730.43</v>
      </c>
      <c r="E85" t="str">
        <f>Screening!N85</f>
        <v>-</v>
      </c>
      <c r="F85" t="e">
        <f t="shared" si="2"/>
        <v>#VALUE!</v>
      </c>
      <c r="G85" t="e">
        <f t="shared" si="3"/>
        <v>#VALUE!</v>
      </c>
    </row>
    <row r="86" spans="1:7" hidden="1" x14ac:dyDescent="0.15">
      <c r="A86" t="s">
        <v>2118</v>
      </c>
      <c r="B86" s="15" t="str">
        <f>Screening!I86</f>
        <v>IQTR1879103295</v>
      </c>
      <c r="C86">
        <f>Screening!F86</f>
        <v>2739.56</v>
      </c>
      <c r="D86">
        <f>Screening!L86</f>
        <v>728.47</v>
      </c>
      <c r="E86" t="str">
        <f>Screening!N86</f>
        <v>-</v>
      </c>
      <c r="F86" t="e">
        <f t="shared" si="2"/>
        <v>#VALUE!</v>
      </c>
      <c r="G86" t="e">
        <f t="shared" si="3"/>
        <v>#VALUE!</v>
      </c>
    </row>
    <row r="87" spans="1:7" hidden="1" x14ac:dyDescent="0.15">
      <c r="A87" t="s">
        <v>2119</v>
      </c>
      <c r="B87" s="15" t="str">
        <f>Screening!I87</f>
        <v>IQTR1764591672</v>
      </c>
      <c r="C87">
        <f>Screening!F87</f>
        <v>1083.73</v>
      </c>
      <c r="D87">
        <f>Screening!L87</f>
        <v>724.85</v>
      </c>
      <c r="E87" t="str">
        <f>Screening!N87</f>
        <v>-</v>
      </c>
      <c r="F87" t="e">
        <f t="shared" si="2"/>
        <v>#VALUE!</v>
      </c>
      <c r="G87" t="e">
        <f t="shared" si="3"/>
        <v>#VALUE!</v>
      </c>
    </row>
    <row r="88" spans="1:7" hidden="1" x14ac:dyDescent="0.15">
      <c r="A88" t="s">
        <v>2120</v>
      </c>
      <c r="B88" s="15" t="str">
        <f>Screening!I88</f>
        <v>IQTR1844194992</v>
      </c>
      <c r="C88" t="str">
        <f>Screening!F88</f>
        <v>-</v>
      </c>
      <c r="D88">
        <f>Screening!L88</f>
        <v>708.04</v>
      </c>
      <c r="E88">
        <f>Screening!N88</f>
        <v>-9.1</v>
      </c>
      <c r="F88" t="e">
        <f t="shared" si="2"/>
        <v>#VALUE!</v>
      </c>
      <c r="G88">
        <f t="shared" si="3"/>
        <v>-1.285238122139992E-2</v>
      </c>
    </row>
    <row r="89" spans="1:7" hidden="1" x14ac:dyDescent="0.15">
      <c r="A89" t="s">
        <v>2121</v>
      </c>
      <c r="B89" s="15" t="str">
        <f>Screening!I89</f>
        <v>IQTR1787619875</v>
      </c>
      <c r="C89">
        <f>Screening!F89</f>
        <v>618.59</v>
      </c>
      <c r="D89">
        <f>Screening!L89</f>
        <v>701.06</v>
      </c>
      <c r="E89">
        <f>Screening!N89</f>
        <v>-29.4</v>
      </c>
      <c r="F89" s="16">
        <f t="shared" si="2"/>
        <v>-21.040476190476191</v>
      </c>
      <c r="G89" s="16">
        <f>100*(E89/D89)</f>
        <v>-4.1936496162953247</v>
      </c>
    </row>
    <row r="90" spans="1:7" hidden="1" x14ac:dyDescent="0.15">
      <c r="A90" t="s">
        <v>2122</v>
      </c>
      <c r="B90" s="15" t="str">
        <f>Screening!I90</f>
        <v>IQTR1967918116</v>
      </c>
      <c r="C90">
        <f>Screening!F90</f>
        <v>2735.68</v>
      </c>
      <c r="D90">
        <f>Screening!L90</f>
        <v>690.59</v>
      </c>
      <c r="E90">
        <f>Screening!N90</f>
        <v>38.299999999999997</v>
      </c>
      <c r="F90" s="16">
        <f t="shared" si="2"/>
        <v>71.427676240208882</v>
      </c>
      <c r="G90" s="16">
        <f>100*(E90/D90)</f>
        <v>5.5459824208285662</v>
      </c>
    </row>
    <row r="91" spans="1:7" hidden="1" x14ac:dyDescent="0.15">
      <c r="A91" t="s">
        <v>2123</v>
      </c>
      <c r="B91" s="15" t="str">
        <f>Screening!I91</f>
        <v>IQTR1995264367</v>
      </c>
      <c r="C91">
        <f>Screening!F91</f>
        <v>29.26</v>
      </c>
      <c r="D91">
        <f>Screening!L91</f>
        <v>684.83</v>
      </c>
      <c r="E91" t="str">
        <f>Screening!N91</f>
        <v>-</v>
      </c>
      <c r="F91" t="e">
        <f t="shared" si="2"/>
        <v>#VALUE!</v>
      </c>
      <c r="G91" t="e">
        <f t="shared" si="3"/>
        <v>#VALUE!</v>
      </c>
    </row>
    <row r="92" spans="1:7" hidden="1" x14ac:dyDescent="0.15">
      <c r="A92" t="s">
        <v>2124</v>
      </c>
      <c r="B92" s="15" t="str">
        <f>Screening!I92</f>
        <v>IQTR1960281017</v>
      </c>
      <c r="C92">
        <f>Screening!F92</f>
        <v>52.74</v>
      </c>
      <c r="D92">
        <f>Screening!L92</f>
        <v>683.55</v>
      </c>
      <c r="E92">
        <f>Screening!N92</f>
        <v>91.3</v>
      </c>
      <c r="F92" s="16">
        <f>C92/E92</f>
        <v>0.5776560788608982</v>
      </c>
      <c r="G92" s="16">
        <f>100*(E92/D92)</f>
        <v>13.356740545680637</v>
      </c>
    </row>
    <row r="93" spans="1:7" hidden="1" x14ac:dyDescent="0.15">
      <c r="A93" t="s">
        <v>2125</v>
      </c>
      <c r="B93" s="15" t="str">
        <f>Screening!I93</f>
        <v>IQTR1852944845</v>
      </c>
      <c r="C93" t="str">
        <f>Screening!F93</f>
        <v>-</v>
      </c>
      <c r="D93">
        <f>Screening!L93</f>
        <v>676.57</v>
      </c>
      <c r="E93">
        <f>Screening!N93</f>
        <v>390.5</v>
      </c>
      <c r="F93" t="e">
        <f t="shared" si="2"/>
        <v>#VALUE!</v>
      </c>
      <c r="G93">
        <f t="shared" si="3"/>
        <v>0.57717604978051051</v>
      </c>
    </row>
    <row r="94" spans="1:7" hidden="1" x14ac:dyDescent="0.15">
      <c r="A94" t="s">
        <v>2126</v>
      </c>
      <c r="B94" s="15" t="str">
        <f>Screening!I94</f>
        <v>IQTR1853092713</v>
      </c>
      <c r="C94">
        <f>Screening!F94</f>
        <v>621.94000000000005</v>
      </c>
      <c r="D94">
        <f>Screening!L94</f>
        <v>672.92</v>
      </c>
      <c r="E94" t="str">
        <f>Screening!N94</f>
        <v>-</v>
      </c>
      <c r="F94" t="e">
        <f t="shared" si="2"/>
        <v>#VALUE!</v>
      </c>
      <c r="G94" t="e">
        <f t="shared" si="3"/>
        <v>#VALUE!</v>
      </c>
    </row>
    <row r="95" spans="1:7" hidden="1" x14ac:dyDescent="0.15">
      <c r="A95" t="s">
        <v>2127</v>
      </c>
      <c r="B95" s="15" t="str">
        <f>Screening!I95</f>
        <v>IQTR1791060882</v>
      </c>
      <c r="C95">
        <f>Screening!F95</f>
        <v>4740.32</v>
      </c>
      <c r="D95">
        <f>Screening!L95</f>
        <v>671.17</v>
      </c>
      <c r="E95" t="str">
        <f>Screening!N95</f>
        <v>-</v>
      </c>
      <c r="F95" t="e">
        <f t="shared" si="2"/>
        <v>#VALUE!</v>
      </c>
      <c r="G95" t="e">
        <f t="shared" si="3"/>
        <v>#VALUE!</v>
      </c>
    </row>
    <row r="96" spans="1:7" hidden="1" x14ac:dyDescent="0.15">
      <c r="A96" t="s">
        <v>2128</v>
      </c>
      <c r="B96" s="15" t="str">
        <f>Screening!I96</f>
        <v>IQTR1968615496</v>
      </c>
      <c r="C96">
        <f>Screening!F96</f>
        <v>31.22</v>
      </c>
      <c r="D96">
        <f>Screening!L96</f>
        <v>671.05</v>
      </c>
      <c r="E96">
        <f>Screening!N96</f>
        <v>946.5</v>
      </c>
      <c r="F96" s="16">
        <f t="shared" si="2"/>
        <v>3.298468040147913E-2</v>
      </c>
      <c r="G96" s="16">
        <f>100*(E96/D96)</f>
        <v>141.04761195141941</v>
      </c>
    </row>
    <row r="97" spans="1:7" x14ac:dyDescent="0.15">
      <c r="A97" t="s">
        <v>2129</v>
      </c>
      <c r="B97" s="15" t="str">
        <f>Screening!I97</f>
        <v>IQTR1913479166</v>
      </c>
      <c r="C97">
        <f>Screening!F97</f>
        <v>1254.54</v>
      </c>
      <c r="D97">
        <f>Screening!L97</f>
        <v>662.29</v>
      </c>
      <c r="E97">
        <f>Screening!N97</f>
        <v>81.900000000000006</v>
      </c>
      <c r="F97" s="16">
        <f t="shared" si="2"/>
        <v>15.317948717948717</v>
      </c>
      <c r="G97" s="16">
        <f>100*(E97/D97)</f>
        <v>12.36618399794652</v>
      </c>
    </row>
    <row r="98" spans="1:7" hidden="1" x14ac:dyDescent="0.15">
      <c r="A98" t="s">
        <v>2130</v>
      </c>
      <c r="B98" s="15" t="str">
        <f>Screening!I98</f>
        <v>IQTR1879230826</v>
      </c>
      <c r="C98">
        <f>Screening!F98</f>
        <v>5591.6</v>
      </c>
      <c r="D98">
        <f>Screening!L98</f>
        <v>653.95000000000005</v>
      </c>
      <c r="E98" t="str">
        <f>Screening!N98</f>
        <v>-</v>
      </c>
      <c r="F98" t="e">
        <f t="shared" si="2"/>
        <v>#VALUE!</v>
      </c>
      <c r="G98" t="e">
        <f t="shared" si="3"/>
        <v>#VALUE!</v>
      </c>
    </row>
    <row r="99" spans="1:7" hidden="1" x14ac:dyDescent="0.15">
      <c r="A99" t="s">
        <v>2131</v>
      </c>
      <c r="B99" s="15" t="str">
        <f>Screening!I99</f>
        <v>IQTR1902476016</v>
      </c>
      <c r="C99">
        <f>Screening!F99</f>
        <v>10700.92</v>
      </c>
      <c r="D99">
        <f>Screening!L99</f>
        <v>644.66</v>
      </c>
      <c r="E99">
        <f>Screening!N99</f>
        <v>60.3</v>
      </c>
      <c r="F99" s="16">
        <f>C99/E99</f>
        <v>177.46135986733003</v>
      </c>
      <c r="G99" s="16">
        <f>100*(E99/D99)</f>
        <v>9.3537678776409265</v>
      </c>
    </row>
    <row r="100" spans="1:7" hidden="1" x14ac:dyDescent="0.15">
      <c r="A100" t="s">
        <v>2132</v>
      </c>
      <c r="B100" s="15" t="str">
        <f>Screening!I100</f>
        <v>IQTR1777910955</v>
      </c>
      <c r="C100">
        <f>Screening!F100</f>
        <v>6219.6</v>
      </c>
      <c r="D100">
        <f>Screening!L100</f>
        <v>644.53</v>
      </c>
      <c r="E100" t="str">
        <f>Screening!N100</f>
        <v>-</v>
      </c>
      <c r="F100" t="e">
        <f t="shared" si="2"/>
        <v>#VALUE!</v>
      </c>
      <c r="G100" t="e">
        <f t="shared" si="3"/>
        <v>#VALUE!</v>
      </c>
    </row>
    <row r="101" spans="1:7" hidden="1" x14ac:dyDescent="0.15">
      <c r="A101" t="s">
        <v>2133</v>
      </c>
      <c r="B101" s="15" t="str">
        <f>Screening!I101</f>
        <v>IQTR1975077803</v>
      </c>
      <c r="C101">
        <f>Screening!F101</f>
        <v>8400</v>
      </c>
      <c r="D101">
        <f>Screening!L101</f>
        <v>640.38</v>
      </c>
      <c r="E101">
        <f>Screening!N101</f>
        <v>109.1</v>
      </c>
      <c r="F101" s="16">
        <f t="shared" si="2"/>
        <v>76.993583868011001</v>
      </c>
      <c r="G101" s="16">
        <f>100*(E101/D101)</f>
        <v>17.036759424091944</v>
      </c>
    </row>
    <row r="102" spans="1:7" hidden="1" x14ac:dyDescent="0.15">
      <c r="A102" t="s">
        <v>2134</v>
      </c>
      <c r="B102" s="15" t="str">
        <f>Screening!I102</f>
        <v>IQTR1838419043</v>
      </c>
      <c r="C102">
        <f>Screening!F102</f>
        <v>648.79</v>
      </c>
      <c r="D102">
        <f>Screening!L102</f>
        <v>640.16999999999996</v>
      </c>
      <c r="E102">
        <f>Screening!N102</f>
        <v>390.5</v>
      </c>
      <c r="F102" s="16">
        <f t="shared" si="2"/>
        <v>1.6614340588988474</v>
      </c>
      <c r="G102" s="16">
        <f>100*(E102/D102)</f>
        <v>60.999422028523675</v>
      </c>
    </row>
    <row r="103" spans="1:7" hidden="1" x14ac:dyDescent="0.15">
      <c r="A103" t="s">
        <v>2135</v>
      </c>
      <c r="B103" s="15" t="str">
        <f>Screening!I103</f>
        <v>IQTR1758441960</v>
      </c>
      <c r="C103">
        <f>Screening!F103</f>
        <v>9505.76</v>
      </c>
      <c r="D103">
        <f>Screening!L103</f>
        <v>638.55999999999995</v>
      </c>
      <c r="E103" t="str">
        <f>Screening!N103</f>
        <v>-</v>
      </c>
      <c r="F103" t="e">
        <f t="shared" si="2"/>
        <v>#VALUE!</v>
      </c>
      <c r="G103" t="e">
        <f t="shared" si="3"/>
        <v>#VALUE!</v>
      </c>
    </row>
    <row r="104" spans="1:7" hidden="1" x14ac:dyDescent="0.15">
      <c r="A104" t="s">
        <v>2136</v>
      </c>
      <c r="B104" s="15" t="str">
        <f>Screening!I104</f>
        <v>IQTR1835251458</v>
      </c>
      <c r="C104">
        <f>Screening!F104</f>
        <v>4515.18</v>
      </c>
      <c r="D104">
        <f>Screening!L104</f>
        <v>632.96</v>
      </c>
      <c r="E104" t="str">
        <f>Screening!N104</f>
        <v>-</v>
      </c>
      <c r="F104" t="e">
        <f t="shared" si="2"/>
        <v>#VALUE!</v>
      </c>
      <c r="G104" t="e">
        <f t="shared" si="3"/>
        <v>#VALUE!</v>
      </c>
    </row>
    <row r="105" spans="1:7" hidden="1" x14ac:dyDescent="0.15">
      <c r="A105" t="s">
        <v>2137</v>
      </c>
      <c r="B105" s="15" t="str">
        <f>Screening!I105</f>
        <v>IQTR1775124916</v>
      </c>
      <c r="C105">
        <f>Screening!F105</f>
        <v>10384.81</v>
      </c>
      <c r="D105">
        <f>Screening!L105</f>
        <v>631.51</v>
      </c>
      <c r="E105" t="str">
        <f>Screening!N105</f>
        <v>-</v>
      </c>
      <c r="F105" t="e">
        <f t="shared" si="2"/>
        <v>#VALUE!</v>
      </c>
      <c r="G105" t="e">
        <f t="shared" si="3"/>
        <v>#VALUE!</v>
      </c>
    </row>
    <row r="106" spans="1:7" hidden="1" x14ac:dyDescent="0.15">
      <c r="A106" t="s">
        <v>2138</v>
      </c>
      <c r="B106" s="15" t="str">
        <f>Screening!I106</f>
        <v>IQTR1829483129</v>
      </c>
      <c r="C106">
        <f>Screening!F106</f>
        <v>4717.17</v>
      </c>
      <c r="D106">
        <f>Screening!L106</f>
        <v>630.55999999999995</v>
      </c>
      <c r="E106" t="str">
        <f>Screening!N106</f>
        <v>-</v>
      </c>
      <c r="F106" t="e">
        <f t="shared" si="2"/>
        <v>#VALUE!</v>
      </c>
      <c r="G106" t="e">
        <f t="shared" si="3"/>
        <v>#VALUE!</v>
      </c>
    </row>
    <row r="107" spans="1:7" hidden="1" x14ac:dyDescent="0.15">
      <c r="A107" t="s">
        <v>2139</v>
      </c>
      <c r="B107" s="15" t="str">
        <f>Screening!I107</f>
        <v>IQTR1782462626</v>
      </c>
      <c r="C107">
        <f>Screening!F107</f>
        <v>10606.55</v>
      </c>
      <c r="D107">
        <f>Screening!L107</f>
        <v>625.79</v>
      </c>
      <c r="E107" t="str">
        <f>Screening!N107</f>
        <v>-</v>
      </c>
      <c r="F107" t="e">
        <f t="shared" si="2"/>
        <v>#VALUE!</v>
      </c>
      <c r="G107" t="e">
        <f t="shared" si="3"/>
        <v>#VALUE!</v>
      </c>
    </row>
    <row r="108" spans="1:7" hidden="1" x14ac:dyDescent="0.15">
      <c r="A108" t="s">
        <v>2140</v>
      </c>
      <c r="B108" s="15" t="str">
        <f>Screening!I108</f>
        <v>IQTR1825736031</v>
      </c>
      <c r="C108">
        <f>Screening!F108</f>
        <v>722.04</v>
      </c>
      <c r="D108">
        <f>Screening!L108</f>
        <v>623.48</v>
      </c>
      <c r="E108" t="str">
        <f>Screening!N108</f>
        <v>-</v>
      </c>
      <c r="F108" t="e">
        <f t="shared" si="2"/>
        <v>#VALUE!</v>
      </c>
      <c r="G108" t="e">
        <f t="shared" si="3"/>
        <v>#VALUE!</v>
      </c>
    </row>
    <row r="109" spans="1:7" hidden="1" x14ac:dyDescent="0.15">
      <c r="A109" t="s">
        <v>2141</v>
      </c>
      <c r="B109" s="15" t="str">
        <f>Screening!I109</f>
        <v>IQTR1823783376</v>
      </c>
      <c r="C109">
        <f>Screening!F109</f>
        <v>575.82000000000005</v>
      </c>
      <c r="D109">
        <f>Screening!L109</f>
        <v>614.73</v>
      </c>
      <c r="E109" t="str">
        <f>Screening!N109</f>
        <v>-</v>
      </c>
      <c r="F109" t="e">
        <f t="shared" si="2"/>
        <v>#VALUE!</v>
      </c>
      <c r="G109" t="e">
        <f t="shared" si="3"/>
        <v>#VALUE!</v>
      </c>
    </row>
    <row r="110" spans="1:7" hidden="1" x14ac:dyDescent="0.15">
      <c r="A110" t="s">
        <v>2142</v>
      </c>
      <c r="B110" s="15" t="str">
        <f>Screening!I110</f>
        <v>IQTR1878443499</v>
      </c>
      <c r="C110" t="str">
        <f>Screening!F110</f>
        <v>-</v>
      </c>
      <c r="D110">
        <f>Screening!L110</f>
        <v>610.69000000000005</v>
      </c>
      <c r="E110">
        <f>Screening!N110</f>
        <v>81.900000000000006</v>
      </c>
      <c r="F110" t="e">
        <f t="shared" si="2"/>
        <v>#VALUE!</v>
      </c>
      <c r="G110">
        <f t="shared" si="3"/>
        <v>0.13411059621084348</v>
      </c>
    </row>
    <row r="111" spans="1:7" hidden="1" x14ac:dyDescent="0.15">
      <c r="A111" t="s">
        <v>2143</v>
      </c>
      <c r="B111" s="15" t="str">
        <f>Screening!I111</f>
        <v>IQTR1859180077</v>
      </c>
      <c r="C111">
        <f>Screening!F111</f>
        <v>193.78</v>
      </c>
      <c r="D111">
        <f>Screening!L111</f>
        <v>608.19000000000005</v>
      </c>
      <c r="E111">
        <f>Screening!N111</f>
        <v>87.6</v>
      </c>
      <c r="F111" s="16">
        <f>C111/E111</f>
        <v>2.2121004566210045</v>
      </c>
      <c r="G111" s="16">
        <f>100*(E111/D111)</f>
        <v>14.403393676318254</v>
      </c>
    </row>
    <row r="112" spans="1:7" hidden="1" x14ac:dyDescent="0.15">
      <c r="A112" t="s">
        <v>2144</v>
      </c>
      <c r="B112" s="15" t="str">
        <f>Screening!I112</f>
        <v>IQTR1944959212</v>
      </c>
      <c r="C112">
        <f>Screening!F112</f>
        <v>2417.96</v>
      </c>
      <c r="D112">
        <f>Screening!L112</f>
        <v>607.69000000000005</v>
      </c>
      <c r="E112" t="str">
        <f>Screening!N112</f>
        <v>-</v>
      </c>
      <c r="F112" t="e">
        <f t="shared" si="2"/>
        <v>#VALUE!</v>
      </c>
      <c r="G112" t="e">
        <f t="shared" si="3"/>
        <v>#VALUE!</v>
      </c>
    </row>
    <row r="113" spans="1:7" hidden="1" x14ac:dyDescent="0.15">
      <c r="A113" t="s">
        <v>2145</v>
      </c>
      <c r="B113" s="15" t="str">
        <f>Screening!I113</f>
        <v>IQTR1977157497</v>
      </c>
      <c r="C113">
        <f>Screening!F113</f>
        <v>6490.65</v>
      </c>
      <c r="D113">
        <f>Screening!L113</f>
        <v>601.92999999999995</v>
      </c>
      <c r="E113">
        <f>Screening!N113</f>
        <v>-91.5</v>
      </c>
      <c r="F113" s="16">
        <f>C113/E113</f>
        <v>-70.936065573770492</v>
      </c>
      <c r="G113" s="16">
        <f>100*(E113/D113)</f>
        <v>-15.201103118302795</v>
      </c>
    </row>
    <row r="114" spans="1:7" hidden="1" x14ac:dyDescent="0.15">
      <c r="A114" t="s">
        <v>2146</v>
      </c>
      <c r="B114" s="15" t="str">
        <f>Screening!I114</f>
        <v>IQTR1888857335</v>
      </c>
      <c r="C114">
        <f>Screening!F114</f>
        <v>4864.43</v>
      </c>
      <c r="D114">
        <f>Screening!L114</f>
        <v>596.20000000000005</v>
      </c>
      <c r="E114" t="str">
        <f>Screening!N114</f>
        <v>-</v>
      </c>
      <c r="F114" t="e">
        <f t="shared" si="2"/>
        <v>#VALUE!</v>
      </c>
      <c r="G114" t="e">
        <f t="shared" si="3"/>
        <v>#VALUE!</v>
      </c>
    </row>
    <row r="115" spans="1:7" hidden="1" x14ac:dyDescent="0.15">
      <c r="A115" t="s">
        <v>2147</v>
      </c>
      <c r="B115" s="15" t="str">
        <f>Screening!I115</f>
        <v>IQTR1879049671</v>
      </c>
      <c r="C115">
        <f>Screening!F115</f>
        <v>7663.63</v>
      </c>
      <c r="D115">
        <f>Screening!L115</f>
        <v>583.14</v>
      </c>
      <c r="E115" t="str">
        <f>Screening!N115</f>
        <v>-</v>
      </c>
      <c r="F115" t="e">
        <f t="shared" si="2"/>
        <v>#VALUE!</v>
      </c>
      <c r="G115" t="e">
        <f t="shared" si="3"/>
        <v>#VALUE!</v>
      </c>
    </row>
    <row r="116" spans="1:7" hidden="1" x14ac:dyDescent="0.15">
      <c r="A116" t="s">
        <v>2148</v>
      </c>
      <c r="B116" s="15" t="str">
        <f>Screening!I116</f>
        <v>IQTR1890532746</v>
      </c>
      <c r="C116">
        <f>Screening!F116</f>
        <v>2550</v>
      </c>
      <c r="D116">
        <f>Screening!L116</f>
        <v>579</v>
      </c>
      <c r="E116" t="str">
        <f>Screening!N116</f>
        <v>-</v>
      </c>
      <c r="F116" t="e">
        <f t="shared" si="2"/>
        <v>#VALUE!</v>
      </c>
      <c r="G116" t="e">
        <f t="shared" si="3"/>
        <v>#VALUE!</v>
      </c>
    </row>
    <row r="117" spans="1:7" hidden="1" x14ac:dyDescent="0.15">
      <c r="A117" t="s">
        <v>2149</v>
      </c>
      <c r="B117" s="15" t="str">
        <f>Screening!I117</f>
        <v>IQTR1770446854</v>
      </c>
      <c r="C117">
        <f>Screening!F117</f>
        <v>1315.19</v>
      </c>
      <c r="D117">
        <f>Screening!L117</f>
        <v>571.82000000000005</v>
      </c>
      <c r="E117" t="str">
        <f>Screening!N117</f>
        <v>-</v>
      </c>
      <c r="F117" t="e">
        <f t="shared" si="2"/>
        <v>#VALUE!</v>
      </c>
      <c r="G117" t="e">
        <f t="shared" si="3"/>
        <v>#VALUE!</v>
      </c>
    </row>
    <row r="118" spans="1:7" hidden="1" x14ac:dyDescent="0.15">
      <c r="A118" t="s">
        <v>2150</v>
      </c>
      <c r="B118" s="15" t="str">
        <f>Screening!I118</f>
        <v>IQTR1887374017</v>
      </c>
      <c r="C118">
        <f>Screening!F118</f>
        <v>28.81</v>
      </c>
      <c r="D118">
        <f>Screening!L118</f>
        <v>570.98</v>
      </c>
      <c r="E118">
        <f>Screening!N118</f>
        <v>14.4</v>
      </c>
      <c r="F118" s="16">
        <f>C118/E118</f>
        <v>2.0006944444444441</v>
      </c>
      <c r="G118" s="16">
        <f>100*(E118/D118)</f>
        <v>2.5219797541069742</v>
      </c>
    </row>
    <row r="119" spans="1:7" hidden="1" x14ac:dyDescent="0.15">
      <c r="A119" t="s">
        <v>2151</v>
      </c>
      <c r="B119" s="15" t="str">
        <f>Screening!I119</f>
        <v>IQTR1823370229</v>
      </c>
      <c r="C119" t="str">
        <f>Screening!F119</f>
        <v>-</v>
      </c>
      <c r="D119">
        <f>Screening!L119</f>
        <v>564.44000000000005</v>
      </c>
      <c r="E119">
        <f>Screening!N119</f>
        <v>33.4</v>
      </c>
      <c r="F119" t="e">
        <f t="shared" si="2"/>
        <v>#VALUE!</v>
      </c>
      <c r="G119">
        <f t="shared" si="3"/>
        <v>5.9173694281057322E-2</v>
      </c>
    </row>
    <row r="120" spans="1:7" hidden="1" x14ac:dyDescent="0.15">
      <c r="A120" t="s">
        <v>2152</v>
      </c>
      <c r="B120" s="15" t="str">
        <f>Screening!I120</f>
        <v>IQTR1760998874</v>
      </c>
      <c r="C120">
        <f>Screening!F120</f>
        <v>5907.23</v>
      </c>
      <c r="D120">
        <f>Screening!L120</f>
        <v>553.30999999999995</v>
      </c>
      <c r="E120" t="str">
        <f>Screening!N120</f>
        <v>-</v>
      </c>
      <c r="F120" t="e">
        <f t="shared" si="2"/>
        <v>#VALUE!</v>
      </c>
      <c r="G120" t="e">
        <f t="shared" si="3"/>
        <v>#VALUE!</v>
      </c>
    </row>
    <row r="121" spans="1:7" x14ac:dyDescent="0.15">
      <c r="A121" t="s">
        <v>2153</v>
      </c>
      <c r="B121" s="15" t="str">
        <f>Screening!I121</f>
        <v>IQTR1934842365</v>
      </c>
      <c r="C121">
        <f>Screening!F121</f>
        <v>808.96</v>
      </c>
      <c r="D121">
        <f>Screening!L121</f>
        <v>552.52</v>
      </c>
      <c r="E121">
        <f>Screening!N121</f>
        <v>76.8</v>
      </c>
      <c r="F121" s="16">
        <f t="shared" si="2"/>
        <v>10.533333333333335</v>
      </c>
      <c r="G121" s="16">
        <f>100*(E121/D121)</f>
        <v>13.899949323101426</v>
      </c>
    </row>
    <row r="122" spans="1:7" x14ac:dyDescent="0.15">
      <c r="A122" t="s">
        <v>2154</v>
      </c>
      <c r="B122" s="15" t="str">
        <f>Screening!I122</f>
        <v>IQTR1956594929</v>
      </c>
      <c r="C122">
        <f>Screening!F122</f>
        <v>1434.05</v>
      </c>
      <c r="D122">
        <f>Screening!L122</f>
        <v>549.04</v>
      </c>
      <c r="E122">
        <f>Screening!N122</f>
        <v>93.5</v>
      </c>
      <c r="F122" s="16">
        <f t="shared" si="2"/>
        <v>15.337433155080213</v>
      </c>
      <c r="G122" s="16">
        <f>100*(E122/D122)</f>
        <v>17.029724610228765</v>
      </c>
    </row>
    <row r="123" spans="1:7" hidden="1" x14ac:dyDescent="0.15">
      <c r="A123" t="s">
        <v>2155</v>
      </c>
      <c r="B123" s="15" t="str">
        <f>Screening!I123</f>
        <v>IQTR1975554631</v>
      </c>
      <c r="C123">
        <f>Screening!F123</f>
        <v>2365.56</v>
      </c>
      <c r="D123">
        <f>Screening!L123</f>
        <v>516</v>
      </c>
      <c r="E123" t="str">
        <f>Screening!N123</f>
        <v>-</v>
      </c>
      <c r="F123" t="e">
        <f t="shared" si="2"/>
        <v>#VALUE!</v>
      </c>
      <c r="G123" t="e">
        <f t="shared" si="3"/>
        <v>#VALUE!</v>
      </c>
    </row>
    <row r="124" spans="1:7" hidden="1" x14ac:dyDescent="0.15">
      <c r="A124" t="s">
        <v>2156</v>
      </c>
      <c r="B124" s="15" t="str">
        <f>Screening!I124</f>
        <v>IQTR1842749511</v>
      </c>
      <c r="C124">
        <f>Screening!F124</f>
        <v>10764.73</v>
      </c>
      <c r="D124">
        <f>Screening!L124</f>
        <v>513.73</v>
      </c>
      <c r="E124" t="str">
        <f>Screening!N124</f>
        <v>-</v>
      </c>
      <c r="F124" t="e">
        <f t="shared" si="2"/>
        <v>#VALUE!</v>
      </c>
      <c r="G124" t="e">
        <f t="shared" si="3"/>
        <v>#VALUE!</v>
      </c>
    </row>
    <row r="125" spans="1:7" hidden="1" x14ac:dyDescent="0.15">
      <c r="A125" t="s">
        <v>2157</v>
      </c>
      <c r="B125" s="15" t="str">
        <f>Screening!I125</f>
        <v>IQTR1848924578</v>
      </c>
      <c r="C125">
        <f>Screening!F125</f>
        <v>3700</v>
      </c>
      <c r="D125">
        <f>Screening!L125</f>
        <v>500</v>
      </c>
      <c r="E125" t="str">
        <f>Screening!N125</f>
        <v>-</v>
      </c>
      <c r="F125" t="e">
        <f t="shared" si="2"/>
        <v>#VALUE!</v>
      </c>
      <c r="G125" t="e">
        <f t="shared" si="3"/>
        <v>#VALUE!</v>
      </c>
    </row>
    <row r="126" spans="1:7" hidden="1" x14ac:dyDescent="0.15">
      <c r="A126" t="s">
        <v>2158</v>
      </c>
      <c r="B126" s="15" t="str">
        <f>Screening!I126</f>
        <v>IQTR1832762270</v>
      </c>
      <c r="C126">
        <f>Screening!F126</f>
        <v>15.5</v>
      </c>
      <c r="D126">
        <f>Screening!L126</f>
        <v>492.39</v>
      </c>
      <c r="E126">
        <f>Screening!N126</f>
        <v>51.1</v>
      </c>
      <c r="F126" s="16">
        <f>C126/E126</f>
        <v>0.30332681017612523</v>
      </c>
      <c r="G126" s="16">
        <f>100*(E126/D126)</f>
        <v>10.377952436077093</v>
      </c>
    </row>
    <row r="127" spans="1:7" hidden="1" x14ac:dyDescent="0.15">
      <c r="A127" t="s">
        <v>2159</v>
      </c>
      <c r="B127" s="15" t="str">
        <f>Screening!I127</f>
        <v>IQTR1825523619</v>
      </c>
      <c r="C127" t="str">
        <f>Screening!F127</f>
        <v>-</v>
      </c>
      <c r="D127">
        <f>Screening!L127</f>
        <v>483.87</v>
      </c>
      <c r="E127" t="str">
        <f>Screening!N127</f>
        <v>-</v>
      </c>
      <c r="F127" t="e">
        <f t="shared" si="2"/>
        <v>#VALUE!</v>
      </c>
      <c r="G127" t="e">
        <f t="shared" si="3"/>
        <v>#VALUE!</v>
      </c>
    </row>
    <row r="128" spans="1:7" hidden="1" x14ac:dyDescent="0.15">
      <c r="A128" t="s">
        <v>2160</v>
      </c>
      <c r="B128" s="15" t="str">
        <f>Screening!I128</f>
        <v>IQTR1773786962</v>
      </c>
      <c r="C128">
        <f>Screening!F128</f>
        <v>7550.85</v>
      </c>
      <c r="D128">
        <f>Screening!L128</f>
        <v>483.46</v>
      </c>
      <c r="E128" t="str">
        <f>Screening!N128</f>
        <v>-</v>
      </c>
      <c r="F128" t="e">
        <f t="shared" si="2"/>
        <v>#VALUE!</v>
      </c>
      <c r="G128" t="e">
        <f t="shared" si="3"/>
        <v>#VALUE!</v>
      </c>
    </row>
    <row r="129" spans="1:7" hidden="1" x14ac:dyDescent="0.15">
      <c r="A129" t="s">
        <v>2161</v>
      </c>
      <c r="B129" s="15" t="str">
        <f>Screening!I129</f>
        <v>IQTR1830473671</v>
      </c>
      <c r="C129">
        <f>Screening!F129</f>
        <v>551.54</v>
      </c>
      <c r="D129">
        <f>Screening!L129</f>
        <v>483.38</v>
      </c>
      <c r="E129">
        <f>Screening!N129</f>
        <v>711.9</v>
      </c>
      <c r="F129" s="16">
        <f t="shared" si="2"/>
        <v>0.77474364377019245</v>
      </c>
      <c r="G129" s="16">
        <f>100*(E129/D129)</f>
        <v>147.27543547519551</v>
      </c>
    </row>
    <row r="130" spans="1:7" x14ac:dyDescent="0.15">
      <c r="A130" t="s">
        <v>2162</v>
      </c>
      <c r="B130" s="15" t="str">
        <f>Screening!I130</f>
        <v>IQTR1848494184</v>
      </c>
      <c r="C130">
        <f>Screening!F130</f>
        <v>310.25</v>
      </c>
      <c r="D130">
        <f>Screening!L130</f>
        <v>482.88</v>
      </c>
      <c r="E130">
        <f>Screening!N130</f>
        <v>54.6</v>
      </c>
      <c r="F130" s="16">
        <f t="shared" si="2"/>
        <v>5.6822344322344325</v>
      </c>
      <c r="G130" s="16">
        <f>100*(E130/D130)</f>
        <v>11.307157057654075</v>
      </c>
    </row>
    <row r="131" spans="1:7" hidden="1" x14ac:dyDescent="0.15">
      <c r="A131" t="s">
        <v>2163</v>
      </c>
      <c r="B131" s="15" t="str">
        <f>Screening!I131</f>
        <v>IQTR1761806224</v>
      </c>
      <c r="C131">
        <f>Screening!F131</f>
        <v>2741.3</v>
      </c>
      <c r="D131">
        <f>Screening!L131</f>
        <v>482.64</v>
      </c>
      <c r="E131" t="str">
        <f>Screening!N131</f>
        <v>-</v>
      </c>
      <c r="F131" t="e">
        <f t="shared" ref="F131:F194" si="4">C131/E131</f>
        <v>#VALUE!</v>
      </c>
      <c r="G131" t="e">
        <f t="shared" ref="G131:G194" si="5">E131/D131</f>
        <v>#VALUE!</v>
      </c>
    </row>
    <row r="132" spans="1:7" hidden="1" x14ac:dyDescent="0.15">
      <c r="A132" t="s">
        <v>2164</v>
      </c>
      <c r="B132" s="15" t="str">
        <f>Screening!I132</f>
        <v>IQTR1829378640</v>
      </c>
      <c r="C132">
        <f>Screening!F132</f>
        <v>1763.78</v>
      </c>
      <c r="D132">
        <f>Screening!L132</f>
        <v>480.92</v>
      </c>
      <c r="E132" t="str">
        <f>Screening!N132</f>
        <v>-</v>
      </c>
      <c r="F132" t="e">
        <f t="shared" si="4"/>
        <v>#VALUE!</v>
      </c>
      <c r="G132" t="e">
        <f t="shared" si="5"/>
        <v>#VALUE!</v>
      </c>
    </row>
    <row r="133" spans="1:7" hidden="1" x14ac:dyDescent="0.15">
      <c r="A133" t="s">
        <v>2165</v>
      </c>
      <c r="B133" s="15" t="str">
        <f>Screening!I133</f>
        <v>IQTR1852619416</v>
      </c>
      <c r="C133">
        <f>Screening!F133</f>
        <v>289.39999999999998</v>
      </c>
      <c r="D133">
        <f>Screening!L133</f>
        <v>479.8</v>
      </c>
      <c r="E133">
        <f>Screening!N133</f>
        <v>-194.7</v>
      </c>
      <c r="F133" s="16">
        <f>C133/E133</f>
        <v>-1.4863893168977915</v>
      </c>
      <c r="G133" s="16">
        <f>100*(E133/D133)</f>
        <v>-40.579408086702792</v>
      </c>
    </row>
    <row r="134" spans="1:7" hidden="1" x14ac:dyDescent="0.15">
      <c r="A134" t="s">
        <v>2166</v>
      </c>
      <c r="B134" s="15" t="str">
        <f>Screening!I134</f>
        <v>IQTR1940842820</v>
      </c>
      <c r="C134" t="str">
        <f>Screening!F134</f>
        <v>-</v>
      </c>
      <c r="D134">
        <f>Screening!L134</f>
        <v>477.44</v>
      </c>
      <c r="E134">
        <f>Screening!N134</f>
        <v>-1.73</v>
      </c>
      <c r="F134" t="e">
        <f t="shared" si="4"/>
        <v>#VALUE!</v>
      </c>
      <c r="G134">
        <f t="shared" si="5"/>
        <v>-3.6234919571045575E-3</v>
      </c>
    </row>
    <row r="135" spans="1:7" hidden="1" x14ac:dyDescent="0.15">
      <c r="A135" t="s">
        <v>2167</v>
      </c>
      <c r="B135" s="15" t="str">
        <f>Screening!I135</f>
        <v>IQTR1888222571</v>
      </c>
      <c r="C135">
        <f>Screening!F135</f>
        <v>506.47</v>
      </c>
      <c r="D135">
        <f>Screening!L135</f>
        <v>465.54</v>
      </c>
      <c r="E135">
        <f>Screening!N135</f>
        <v>42.7</v>
      </c>
      <c r="F135" s="16">
        <f t="shared" si="4"/>
        <v>11.861124121779859</v>
      </c>
      <c r="G135" s="16">
        <f>100*(E135/D135)</f>
        <v>9.1721441766550669</v>
      </c>
    </row>
    <row r="136" spans="1:7" x14ac:dyDescent="0.15">
      <c r="A136" t="s">
        <v>2168</v>
      </c>
      <c r="B136" s="15" t="str">
        <f>Screening!I136</f>
        <v>IQTR1848560033</v>
      </c>
      <c r="C136">
        <f>Screening!F136</f>
        <v>739.79</v>
      </c>
      <c r="D136">
        <f>Screening!L136</f>
        <v>463.96</v>
      </c>
      <c r="E136">
        <f>Screening!N136</f>
        <v>54.6</v>
      </c>
      <c r="F136" s="16">
        <f t="shared" si="4"/>
        <v>13.549267399267398</v>
      </c>
      <c r="G136" s="16">
        <f>100*(E136/D136)</f>
        <v>11.768255884127942</v>
      </c>
    </row>
    <row r="137" spans="1:7" hidden="1" x14ac:dyDescent="0.15">
      <c r="A137" t="s">
        <v>2169</v>
      </c>
      <c r="B137" s="15" t="str">
        <f>Screening!I137</f>
        <v>IQTR1777896053</v>
      </c>
      <c r="C137">
        <f>Screening!F137</f>
        <v>7465.43</v>
      </c>
      <c r="D137">
        <f>Screening!L137</f>
        <v>463.61</v>
      </c>
      <c r="E137" t="str">
        <f>Screening!N137</f>
        <v>-</v>
      </c>
      <c r="F137" t="e">
        <f t="shared" si="4"/>
        <v>#VALUE!</v>
      </c>
      <c r="G137" t="e">
        <f t="shared" si="5"/>
        <v>#VALUE!</v>
      </c>
    </row>
    <row r="138" spans="1:7" hidden="1" x14ac:dyDescent="0.15">
      <c r="A138" t="s">
        <v>2170</v>
      </c>
      <c r="B138" s="15" t="str">
        <f>Screening!I138</f>
        <v>IQTR1870913016</v>
      </c>
      <c r="C138">
        <f>Screening!F138</f>
        <v>1639.78</v>
      </c>
      <c r="D138">
        <f>Screening!L138</f>
        <v>448.79</v>
      </c>
      <c r="E138" t="str">
        <f>Screening!N138</f>
        <v>-</v>
      </c>
      <c r="F138" t="e">
        <f t="shared" si="4"/>
        <v>#VALUE!</v>
      </c>
      <c r="G138" t="e">
        <f t="shared" si="5"/>
        <v>#VALUE!</v>
      </c>
    </row>
    <row r="139" spans="1:7" hidden="1" x14ac:dyDescent="0.15">
      <c r="A139" t="s">
        <v>2171</v>
      </c>
      <c r="B139" s="15" t="str">
        <f>Screening!I139</f>
        <v>IQTR1861478349</v>
      </c>
      <c r="C139">
        <f>Screening!F139</f>
        <v>318.62</v>
      </c>
      <c r="D139">
        <f>Screening!L139</f>
        <v>448.07</v>
      </c>
      <c r="E139">
        <f>Screening!N139</f>
        <v>211.7</v>
      </c>
      <c r="F139" s="16">
        <f t="shared" si="4"/>
        <v>1.5050543221539916</v>
      </c>
      <c r="G139" s="16">
        <f>100*(E139/D139)</f>
        <v>47.247081929162853</v>
      </c>
    </row>
    <row r="140" spans="1:7" hidden="1" x14ac:dyDescent="0.15">
      <c r="A140" t="s">
        <v>2172</v>
      </c>
      <c r="B140" s="15" t="str">
        <f>Screening!I140</f>
        <v>IQTR1900999264</v>
      </c>
      <c r="C140">
        <f>Screening!F140</f>
        <v>2085.94</v>
      </c>
      <c r="D140">
        <f>Screening!L140</f>
        <v>445.68</v>
      </c>
      <c r="E140">
        <f>Screening!N140</f>
        <v>-14</v>
      </c>
      <c r="F140" s="16">
        <f t="shared" si="4"/>
        <v>-148.99571428571429</v>
      </c>
      <c r="G140" s="16">
        <f>100*(E140/D140)</f>
        <v>-3.1412672769700229</v>
      </c>
    </row>
    <row r="141" spans="1:7" hidden="1" x14ac:dyDescent="0.15">
      <c r="A141" t="s">
        <v>2173</v>
      </c>
      <c r="B141" s="15" t="str">
        <f>Screening!I141</f>
        <v>IQTR1822791156</v>
      </c>
      <c r="C141">
        <f>Screening!F141</f>
        <v>686.7</v>
      </c>
      <c r="D141">
        <f>Screening!L141</f>
        <v>438.66</v>
      </c>
      <c r="E141" t="str">
        <f>Screening!N141</f>
        <v>-</v>
      </c>
      <c r="F141" t="e">
        <f t="shared" si="4"/>
        <v>#VALUE!</v>
      </c>
      <c r="G141" t="e">
        <f t="shared" si="5"/>
        <v>#VALUE!</v>
      </c>
    </row>
    <row r="142" spans="1:7" hidden="1" x14ac:dyDescent="0.15">
      <c r="A142" t="s">
        <v>2174</v>
      </c>
      <c r="B142" s="15" t="str">
        <f>Screening!I142</f>
        <v>IQTR1879211630</v>
      </c>
      <c r="C142">
        <f>Screening!F142</f>
        <v>134.69</v>
      </c>
      <c r="D142">
        <f>Screening!L142</f>
        <v>434.39</v>
      </c>
      <c r="E142" t="str">
        <f>Screening!N142</f>
        <v>-</v>
      </c>
      <c r="F142" t="e">
        <f t="shared" si="4"/>
        <v>#VALUE!</v>
      </c>
      <c r="G142" t="e">
        <f t="shared" si="5"/>
        <v>#VALUE!</v>
      </c>
    </row>
    <row r="143" spans="1:7" hidden="1" x14ac:dyDescent="0.15">
      <c r="A143" t="s">
        <v>2175</v>
      </c>
      <c r="B143" s="15" t="str">
        <f>Screening!I143</f>
        <v>IQTR1762890975</v>
      </c>
      <c r="C143" t="str">
        <f>Screening!F143</f>
        <v>-</v>
      </c>
      <c r="D143">
        <f>Screening!L143</f>
        <v>433.41</v>
      </c>
      <c r="E143">
        <f>Screening!N143</f>
        <v>31.3</v>
      </c>
      <c r="F143" t="e">
        <f t="shared" si="4"/>
        <v>#VALUE!</v>
      </c>
      <c r="G143">
        <f t="shared" si="5"/>
        <v>7.2217992201379755E-2</v>
      </c>
    </row>
    <row r="144" spans="1:7" hidden="1" x14ac:dyDescent="0.15">
      <c r="A144" t="s">
        <v>2176</v>
      </c>
      <c r="B144" s="15" t="str">
        <f>Screening!I144</f>
        <v>IQTR1971015710</v>
      </c>
      <c r="C144">
        <f>Screening!F144</f>
        <v>1992.04</v>
      </c>
      <c r="D144">
        <f>Screening!L144</f>
        <v>428.63</v>
      </c>
      <c r="E144">
        <f>Screening!N144</f>
        <v>-13.2</v>
      </c>
      <c r="F144" s="16">
        <f>C144/E144</f>
        <v>-150.91212121212121</v>
      </c>
      <c r="G144" s="16">
        <f>100*(E144/D144)</f>
        <v>-3.079579124186361</v>
      </c>
    </row>
    <row r="145" spans="1:7" hidden="1" x14ac:dyDescent="0.15">
      <c r="A145" t="s">
        <v>2177</v>
      </c>
      <c r="B145" s="15" t="str">
        <f>Screening!I145</f>
        <v>IQTR1856022457</v>
      </c>
      <c r="C145" t="str">
        <f>Screening!F145</f>
        <v>-</v>
      </c>
      <c r="D145">
        <f>Screening!L145</f>
        <v>427.26</v>
      </c>
      <c r="E145">
        <f>Screening!N145</f>
        <v>-22.1</v>
      </c>
      <c r="F145" t="e">
        <f t="shared" si="4"/>
        <v>#VALUE!</v>
      </c>
      <c r="G145">
        <f t="shared" si="5"/>
        <v>-5.1724944998361659E-2</v>
      </c>
    </row>
    <row r="146" spans="1:7" hidden="1" x14ac:dyDescent="0.15">
      <c r="A146" t="s">
        <v>2178</v>
      </c>
      <c r="B146" s="15" t="str">
        <f>Screening!I146</f>
        <v>IQTR1822204191</v>
      </c>
      <c r="C146">
        <f>Screening!F146</f>
        <v>5.87</v>
      </c>
      <c r="D146">
        <f>Screening!L146</f>
        <v>419.99</v>
      </c>
      <c r="E146">
        <f>Screening!N146</f>
        <v>80.7</v>
      </c>
      <c r="F146" s="16">
        <f>C146/E146</f>
        <v>7.2738537794299882E-2</v>
      </c>
      <c r="G146" s="16">
        <f>100*(E146/D146)</f>
        <v>19.214743208171623</v>
      </c>
    </row>
    <row r="147" spans="1:7" hidden="1" x14ac:dyDescent="0.15">
      <c r="A147" t="s">
        <v>2179</v>
      </c>
      <c r="B147" s="15" t="str">
        <f>Screening!I147</f>
        <v>IQTR1805392470</v>
      </c>
      <c r="C147" t="str">
        <f>Screening!F147</f>
        <v>-</v>
      </c>
      <c r="D147">
        <f>Screening!L147</f>
        <v>415</v>
      </c>
      <c r="E147" t="str">
        <f>Screening!N147</f>
        <v>-</v>
      </c>
      <c r="F147" t="e">
        <f t="shared" si="4"/>
        <v>#VALUE!</v>
      </c>
      <c r="G147" t="e">
        <f t="shared" si="5"/>
        <v>#VALUE!</v>
      </c>
    </row>
    <row r="148" spans="1:7" hidden="1" x14ac:dyDescent="0.15">
      <c r="A148" t="s">
        <v>2180</v>
      </c>
      <c r="B148" s="15" t="str">
        <f>Screening!I148</f>
        <v>IQTR1761161146</v>
      </c>
      <c r="C148">
        <f>Screening!F148</f>
        <v>748.85</v>
      </c>
      <c r="D148">
        <f>Screening!L148</f>
        <v>415</v>
      </c>
      <c r="E148" t="str">
        <f>Screening!N148</f>
        <v>-</v>
      </c>
      <c r="F148" t="e">
        <f t="shared" si="4"/>
        <v>#VALUE!</v>
      </c>
      <c r="G148" t="e">
        <f t="shared" si="5"/>
        <v>#VALUE!</v>
      </c>
    </row>
    <row r="149" spans="1:7" hidden="1" x14ac:dyDescent="0.15">
      <c r="A149" t="s">
        <v>2181</v>
      </c>
      <c r="B149" s="15" t="str">
        <f>Screening!I149</f>
        <v>IQTR1955742845</v>
      </c>
      <c r="C149" t="str">
        <f>Screening!F149</f>
        <v>-</v>
      </c>
      <c r="D149">
        <f>Screening!L149</f>
        <v>400</v>
      </c>
      <c r="E149" t="str">
        <f>Screening!N149</f>
        <v>-</v>
      </c>
      <c r="F149" t="e">
        <f t="shared" si="4"/>
        <v>#VALUE!</v>
      </c>
      <c r="G149" t="e">
        <f t="shared" si="5"/>
        <v>#VALUE!</v>
      </c>
    </row>
    <row r="150" spans="1:7" hidden="1" x14ac:dyDescent="0.15">
      <c r="A150" t="s">
        <v>2182</v>
      </c>
      <c r="B150" s="15" t="str">
        <f>Screening!I150</f>
        <v>IQTR1763951298</v>
      </c>
      <c r="C150">
        <f>Screening!F150</f>
        <v>3500</v>
      </c>
      <c r="D150">
        <f>Screening!L150</f>
        <v>400</v>
      </c>
      <c r="E150" t="str">
        <f>Screening!N150</f>
        <v>-</v>
      </c>
      <c r="F150" t="e">
        <f t="shared" si="4"/>
        <v>#VALUE!</v>
      </c>
      <c r="G150" t="e">
        <f t="shared" si="5"/>
        <v>#VALUE!</v>
      </c>
    </row>
    <row r="151" spans="1:7" hidden="1" x14ac:dyDescent="0.15">
      <c r="A151" t="s">
        <v>2183</v>
      </c>
      <c r="B151" s="15" t="str">
        <f>Screening!I151</f>
        <v>IQTR1859000169</v>
      </c>
      <c r="C151">
        <f>Screening!F151</f>
        <v>39.57</v>
      </c>
      <c r="D151">
        <f>Screening!L151</f>
        <v>392.93</v>
      </c>
      <c r="E151">
        <f>Screening!N151</f>
        <v>5.58</v>
      </c>
      <c r="F151" s="16">
        <f>C151/E151</f>
        <v>7.091397849462366</v>
      </c>
      <c r="G151" s="16">
        <f>100*(E151/D151)</f>
        <v>1.4201002723131346</v>
      </c>
    </row>
    <row r="152" spans="1:7" hidden="1" x14ac:dyDescent="0.15">
      <c r="A152" t="s">
        <v>2184</v>
      </c>
      <c r="B152" s="15" t="str">
        <f>Screening!I152</f>
        <v>IQTR1933762858</v>
      </c>
      <c r="C152" t="str">
        <f>Screening!F152</f>
        <v>-</v>
      </c>
      <c r="D152">
        <f>Screening!L152</f>
        <v>377.87</v>
      </c>
      <c r="E152" t="str">
        <f>Screening!N152</f>
        <v>-</v>
      </c>
      <c r="F152" t="e">
        <f t="shared" si="4"/>
        <v>#VALUE!</v>
      </c>
      <c r="G152" t="e">
        <f t="shared" si="5"/>
        <v>#VALUE!</v>
      </c>
    </row>
    <row r="153" spans="1:7" hidden="1" x14ac:dyDescent="0.15">
      <c r="A153" t="s">
        <v>2185</v>
      </c>
      <c r="B153" s="15" t="str">
        <f>Screening!I153</f>
        <v>IQTR1883429319</v>
      </c>
      <c r="C153">
        <f>Screening!F153</f>
        <v>359.24</v>
      </c>
      <c r="D153">
        <f>Screening!L153</f>
        <v>366.1</v>
      </c>
      <c r="E153" t="str">
        <f>Screening!N153</f>
        <v>-</v>
      </c>
      <c r="F153" t="e">
        <f t="shared" si="4"/>
        <v>#VALUE!</v>
      </c>
      <c r="G153" t="e">
        <f t="shared" si="5"/>
        <v>#VALUE!</v>
      </c>
    </row>
    <row r="154" spans="1:7" hidden="1" x14ac:dyDescent="0.15">
      <c r="A154" t="s">
        <v>2186</v>
      </c>
      <c r="B154" s="15" t="str">
        <f>Screening!I154</f>
        <v>IQTR1859772122</v>
      </c>
      <c r="C154">
        <f>Screening!F154</f>
        <v>2538.0700000000002</v>
      </c>
      <c r="D154">
        <f>Screening!L154</f>
        <v>364.47</v>
      </c>
      <c r="E154" t="str">
        <f>Screening!N154</f>
        <v>-</v>
      </c>
      <c r="F154" t="e">
        <f t="shared" si="4"/>
        <v>#VALUE!</v>
      </c>
      <c r="G154" t="e">
        <f t="shared" si="5"/>
        <v>#VALUE!</v>
      </c>
    </row>
    <row r="155" spans="1:7" hidden="1" x14ac:dyDescent="0.15">
      <c r="A155" t="s">
        <v>2187</v>
      </c>
      <c r="B155" s="15" t="str">
        <f>Screening!I155</f>
        <v>IQTR1684859171</v>
      </c>
      <c r="C155" t="str">
        <f>Screening!F155</f>
        <v>-</v>
      </c>
      <c r="D155">
        <f>Screening!L155</f>
        <v>362.98</v>
      </c>
      <c r="E155">
        <f>Screening!N155</f>
        <v>29.1</v>
      </c>
      <c r="F155" t="e">
        <f t="shared" si="4"/>
        <v>#VALUE!</v>
      </c>
      <c r="G155">
        <f t="shared" si="5"/>
        <v>8.0169706319907427E-2</v>
      </c>
    </row>
    <row r="156" spans="1:7" hidden="1" x14ac:dyDescent="0.15">
      <c r="A156" t="s">
        <v>2188</v>
      </c>
      <c r="B156" s="15" t="str">
        <f>Screening!I156</f>
        <v>IQTR1832459697</v>
      </c>
      <c r="C156" t="str">
        <f>Screening!F156</f>
        <v>-</v>
      </c>
      <c r="D156">
        <f>Screening!L156</f>
        <v>359.36</v>
      </c>
      <c r="E156">
        <f>Screening!N156</f>
        <v>31.3</v>
      </c>
      <c r="F156" t="e">
        <f t="shared" si="4"/>
        <v>#VALUE!</v>
      </c>
      <c r="G156">
        <f t="shared" si="5"/>
        <v>8.7099287622439889E-2</v>
      </c>
    </row>
    <row r="157" spans="1:7" hidden="1" x14ac:dyDescent="0.15">
      <c r="A157" t="s">
        <v>2189</v>
      </c>
      <c r="B157" s="15" t="str">
        <f>Screening!I157</f>
        <v>IQTR1828590666</v>
      </c>
      <c r="C157" t="str">
        <f>Screening!F157</f>
        <v>-</v>
      </c>
      <c r="D157">
        <f>Screening!L157</f>
        <v>359.36</v>
      </c>
      <c r="E157">
        <f>Screening!N157</f>
        <v>31.3</v>
      </c>
      <c r="F157" t="e">
        <f t="shared" si="4"/>
        <v>#VALUE!</v>
      </c>
      <c r="G157">
        <f t="shared" si="5"/>
        <v>8.7099287622439889E-2</v>
      </c>
    </row>
    <row r="158" spans="1:7" hidden="1" x14ac:dyDescent="0.15">
      <c r="A158" t="s">
        <v>2190</v>
      </c>
      <c r="B158" s="15" t="str">
        <f>Screening!I158</f>
        <v>IQTR1914455853</v>
      </c>
      <c r="C158" t="str">
        <f>Screening!F158</f>
        <v>-</v>
      </c>
      <c r="D158">
        <f>Screening!L158</f>
        <v>356.14</v>
      </c>
      <c r="E158">
        <f>Screening!N158</f>
        <v>23.9</v>
      </c>
      <c r="F158" t="e">
        <f t="shared" si="4"/>
        <v>#VALUE!</v>
      </c>
      <c r="G158">
        <f t="shared" si="5"/>
        <v>6.7108440500926597E-2</v>
      </c>
    </row>
    <row r="159" spans="1:7" hidden="1" x14ac:dyDescent="0.15">
      <c r="A159" t="s">
        <v>2191</v>
      </c>
      <c r="B159" s="15" t="str">
        <f>Screening!I159</f>
        <v>IQTR1903352950</v>
      </c>
      <c r="C159">
        <f>Screening!F159</f>
        <v>139.53</v>
      </c>
      <c r="D159">
        <f>Screening!L159</f>
        <v>351.03</v>
      </c>
      <c r="E159">
        <f>Screening!N159</f>
        <v>22.4</v>
      </c>
      <c r="F159" s="16">
        <f>C159/E159</f>
        <v>6.2290178571428578</v>
      </c>
      <c r="G159" s="16">
        <f>100*(E159/D159)</f>
        <v>6.3812209782639657</v>
      </c>
    </row>
    <row r="160" spans="1:7" hidden="1" x14ac:dyDescent="0.15">
      <c r="A160" t="s">
        <v>2192</v>
      </c>
      <c r="B160" s="15" t="str">
        <f>Screening!I160</f>
        <v>IQTR1839126847</v>
      </c>
      <c r="C160" t="str">
        <f>Screening!F160</f>
        <v>-</v>
      </c>
      <c r="D160">
        <f>Screening!L160</f>
        <v>346.42</v>
      </c>
      <c r="E160" t="str">
        <f>Screening!N160</f>
        <v>-</v>
      </c>
      <c r="F160" t="e">
        <f t="shared" si="4"/>
        <v>#VALUE!</v>
      </c>
      <c r="G160" t="e">
        <f t="shared" si="5"/>
        <v>#VALUE!</v>
      </c>
    </row>
    <row r="161" spans="1:7" hidden="1" x14ac:dyDescent="0.15">
      <c r="A161" t="s">
        <v>2193</v>
      </c>
      <c r="B161" s="15" t="str">
        <f>Screening!I161</f>
        <v>IQTR1901315039</v>
      </c>
      <c r="C161">
        <f>Screening!F161</f>
        <v>872.2</v>
      </c>
      <c r="D161">
        <f>Screening!L161</f>
        <v>346.35</v>
      </c>
      <c r="E161" t="str">
        <f>Screening!N161</f>
        <v>-</v>
      </c>
      <c r="F161" t="e">
        <f t="shared" si="4"/>
        <v>#VALUE!</v>
      </c>
      <c r="G161" t="e">
        <f t="shared" si="5"/>
        <v>#VALUE!</v>
      </c>
    </row>
    <row r="162" spans="1:7" x14ac:dyDescent="0.15">
      <c r="A162" t="s">
        <v>2194</v>
      </c>
      <c r="B162" s="15" t="str">
        <f>Screening!I162</f>
        <v>IQTR1889524439</v>
      </c>
      <c r="C162">
        <f>Screening!F162</f>
        <v>522.1</v>
      </c>
      <c r="D162">
        <f>Screening!L162</f>
        <v>345.14</v>
      </c>
      <c r="E162">
        <f>Screening!N162</f>
        <v>45.4</v>
      </c>
      <c r="F162" s="16">
        <f t="shared" si="4"/>
        <v>11.5</v>
      </c>
      <c r="G162" s="16">
        <f>100*(E162/D162)</f>
        <v>13.154082401344382</v>
      </c>
    </row>
    <row r="163" spans="1:7" hidden="1" x14ac:dyDescent="0.15">
      <c r="A163" t="s">
        <v>2195</v>
      </c>
      <c r="B163" s="15" t="str">
        <f>Screening!I163</f>
        <v>IQTR1961487034</v>
      </c>
      <c r="C163">
        <f>Screening!F163</f>
        <v>1607.48</v>
      </c>
      <c r="D163">
        <f>Screening!L163</f>
        <v>342.71</v>
      </c>
      <c r="E163">
        <f>Screening!N163</f>
        <v>-8.34</v>
      </c>
      <c r="F163" s="16">
        <f t="shared" si="4"/>
        <v>-192.74340527577939</v>
      </c>
      <c r="G163" s="16">
        <f>100*(E163/D163)</f>
        <v>-2.4335443961366754</v>
      </c>
    </row>
    <row r="164" spans="1:7" hidden="1" x14ac:dyDescent="0.15">
      <c r="A164" t="s">
        <v>2196</v>
      </c>
      <c r="B164" s="15" t="str">
        <f>Screening!I164</f>
        <v>IQTR1846378332</v>
      </c>
      <c r="C164">
        <f>Screening!F164</f>
        <v>311.79000000000002</v>
      </c>
      <c r="D164">
        <f>Screening!L164</f>
        <v>342.31</v>
      </c>
      <c r="E164" t="str">
        <f>Screening!N164</f>
        <v>-</v>
      </c>
      <c r="F164" t="e">
        <f t="shared" si="4"/>
        <v>#VALUE!</v>
      </c>
      <c r="G164" t="e">
        <f t="shared" si="5"/>
        <v>#VALUE!</v>
      </c>
    </row>
    <row r="165" spans="1:7" hidden="1" x14ac:dyDescent="0.15">
      <c r="A165" t="s">
        <v>2197</v>
      </c>
      <c r="B165" s="15" t="str">
        <f>Screening!I165</f>
        <v>IQTR1783908446</v>
      </c>
      <c r="C165">
        <f>Screening!F165</f>
        <v>74</v>
      </c>
      <c r="D165">
        <f>Screening!L165</f>
        <v>341.17</v>
      </c>
      <c r="E165" t="str">
        <f>Screening!N165</f>
        <v>-</v>
      </c>
      <c r="F165" t="e">
        <f t="shared" si="4"/>
        <v>#VALUE!</v>
      </c>
      <c r="G165" t="e">
        <f t="shared" si="5"/>
        <v>#VALUE!</v>
      </c>
    </row>
    <row r="166" spans="1:7" hidden="1" x14ac:dyDescent="0.15">
      <c r="A166" t="s">
        <v>2198</v>
      </c>
      <c r="B166" s="15" t="str">
        <f>Screening!I166</f>
        <v>IQTR1965860084</v>
      </c>
      <c r="C166">
        <f>Screening!F166</f>
        <v>773.79</v>
      </c>
      <c r="D166">
        <f>Screening!L166</f>
        <v>336.75</v>
      </c>
      <c r="E166">
        <f>Screening!N166</f>
        <v>-39.1</v>
      </c>
      <c r="F166" s="16">
        <f>C166/E166</f>
        <v>-19.790025575447569</v>
      </c>
      <c r="G166" s="16">
        <f>100*(E166/D166)</f>
        <v>-11.610987379361545</v>
      </c>
    </row>
    <row r="167" spans="1:7" hidden="1" x14ac:dyDescent="0.15">
      <c r="A167" t="s">
        <v>2199</v>
      </c>
      <c r="B167" s="15" t="str">
        <f>Screening!I167</f>
        <v>IQTR1823137951</v>
      </c>
      <c r="C167" t="str">
        <f>Screening!F167</f>
        <v>-</v>
      </c>
      <c r="D167">
        <f>Screening!L167</f>
        <v>335.26</v>
      </c>
      <c r="E167">
        <f>Screening!N167</f>
        <v>31.3</v>
      </c>
      <c r="F167" t="e">
        <f t="shared" si="4"/>
        <v>#VALUE!</v>
      </c>
      <c r="G167">
        <f t="shared" si="5"/>
        <v>9.3360377020819674E-2</v>
      </c>
    </row>
    <row r="168" spans="1:7" hidden="1" x14ac:dyDescent="0.15">
      <c r="A168" t="s">
        <v>2200</v>
      </c>
      <c r="B168" s="15" t="str">
        <f>Screening!I168</f>
        <v>IQTR1937296208</v>
      </c>
      <c r="C168">
        <f>Screening!F168</f>
        <v>5944.66</v>
      </c>
      <c r="D168">
        <f>Screening!L168</f>
        <v>332.85</v>
      </c>
      <c r="E168">
        <f>Screening!N168</f>
        <v>279</v>
      </c>
      <c r="F168" s="16">
        <f>C168/E168</f>
        <v>21.307025089605734</v>
      </c>
      <c r="G168" s="16">
        <f>100*(E168/D168)</f>
        <v>83.821541234790445</v>
      </c>
    </row>
    <row r="169" spans="1:7" hidden="1" x14ac:dyDescent="0.15">
      <c r="A169" t="s">
        <v>2201</v>
      </c>
      <c r="B169" s="15" t="str">
        <f>Screening!I169</f>
        <v>IQTR1959573843</v>
      </c>
      <c r="C169">
        <f>Screening!F169</f>
        <v>3142.82</v>
      </c>
      <c r="D169">
        <f>Screening!L169</f>
        <v>325.92</v>
      </c>
      <c r="E169" t="str">
        <f>Screening!N169</f>
        <v>-</v>
      </c>
      <c r="F169" t="e">
        <f t="shared" si="4"/>
        <v>#VALUE!</v>
      </c>
      <c r="G169" t="e">
        <f t="shared" si="5"/>
        <v>#VALUE!</v>
      </c>
    </row>
    <row r="170" spans="1:7" hidden="1" x14ac:dyDescent="0.15">
      <c r="A170" t="s">
        <v>2202</v>
      </c>
      <c r="B170" s="15" t="str">
        <f>Screening!I170</f>
        <v>IQTR1956378793</v>
      </c>
      <c r="C170">
        <f>Screening!F170</f>
        <v>2109.89</v>
      </c>
      <c r="D170">
        <f>Screening!L170</f>
        <v>325.89</v>
      </c>
      <c r="E170">
        <f>Screening!N170</f>
        <v>54.1</v>
      </c>
      <c r="F170" s="16">
        <f>C170/E170</f>
        <v>38.999815157116444</v>
      </c>
      <c r="G170" s="16">
        <f>100*(E170/D170)</f>
        <v>16.600693485531927</v>
      </c>
    </row>
    <row r="171" spans="1:7" hidden="1" x14ac:dyDescent="0.15">
      <c r="A171" t="s">
        <v>2203</v>
      </c>
      <c r="B171" s="15" t="str">
        <f>Screening!I171</f>
        <v>IQTR1885367300</v>
      </c>
      <c r="C171" t="str">
        <f>Screening!F171</f>
        <v>-</v>
      </c>
      <c r="D171">
        <f>Screening!L171</f>
        <v>324.49</v>
      </c>
      <c r="E171">
        <f>Screening!N171</f>
        <v>31.3</v>
      </c>
      <c r="F171" t="e">
        <f t="shared" si="4"/>
        <v>#VALUE!</v>
      </c>
      <c r="G171">
        <f t="shared" si="5"/>
        <v>9.6459058830780611E-2</v>
      </c>
    </row>
    <row r="172" spans="1:7" hidden="1" x14ac:dyDescent="0.15">
      <c r="A172" t="s">
        <v>2204</v>
      </c>
      <c r="B172" s="15" t="str">
        <f>Screening!I172</f>
        <v>IQTR1773629461</v>
      </c>
      <c r="C172">
        <f>Screening!F172</f>
        <v>318.10000000000002</v>
      </c>
      <c r="D172">
        <f>Screening!L172</f>
        <v>323.42</v>
      </c>
      <c r="E172" t="str">
        <f>Screening!N172</f>
        <v>-</v>
      </c>
      <c r="F172" t="e">
        <f t="shared" si="4"/>
        <v>#VALUE!</v>
      </c>
      <c r="G172" t="e">
        <f t="shared" si="5"/>
        <v>#VALUE!</v>
      </c>
    </row>
    <row r="173" spans="1:7" hidden="1" x14ac:dyDescent="0.15">
      <c r="A173" t="s">
        <v>2205</v>
      </c>
      <c r="B173" s="15" t="str">
        <f>Screening!I173</f>
        <v>IQTR1822119728</v>
      </c>
      <c r="C173">
        <f>Screening!F173</f>
        <v>975</v>
      </c>
      <c r="D173">
        <f>Screening!L173</f>
        <v>323</v>
      </c>
      <c r="E173" t="str">
        <f>Screening!N173</f>
        <v>-</v>
      </c>
      <c r="F173" t="e">
        <f t="shared" si="4"/>
        <v>#VALUE!</v>
      </c>
      <c r="G173" t="e">
        <f t="shared" si="5"/>
        <v>#VALUE!</v>
      </c>
    </row>
    <row r="174" spans="1:7" hidden="1" x14ac:dyDescent="0.15">
      <c r="A174" t="s">
        <v>2206</v>
      </c>
      <c r="B174" s="15" t="str">
        <f>Screening!I174</f>
        <v>IQTR1849045473</v>
      </c>
      <c r="C174">
        <f>Screening!F174</f>
        <v>372.03</v>
      </c>
      <c r="D174">
        <f>Screening!L174</f>
        <v>314.85000000000002</v>
      </c>
      <c r="E174">
        <f>Screening!N174</f>
        <v>22.2</v>
      </c>
      <c r="F174" s="16">
        <f>C174/E174</f>
        <v>16.758108108108107</v>
      </c>
      <c r="G174" s="16">
        <f>100*(E174/D174)</f>
        <v>7.0509766555502615</v>
      </c>
    </row>
    <row r="175" spans="1:7" hidden="1" x14ac:dyDescent="0.15">
      <c r="A175" t="s">
        <v>2207</v>
      </c>
      <c r="B175" s="15" t="str">
        <f>Screening!I175</f>
        <v>IQTR1889189628</v>
      </c>
      <c r="C175" t="str">
        <f>Screening!F175</f>
        <v>-</v>
      </c>
      <c r="D175">
        <f>Screening!L175</f>
        <v>314.39999999999998</v>
      </c>
      <c r="E175">
        <f>Screening!N175</f>
        <v>-18.5</v>
      </c>
      <c r="F175" t="e">
        <f t="shared" si="4"/>
        <v>#VALUE!</v>
      </c>
      <c r="G175">
        <f t="shared" si="5"/>
        <v>-5.8842239185750642E-2</v>
      </c>
    </row>
    <row r="176" spans="1:7" hidden="1" x14ac:dyDescent="0.15">
      <c r="A176" t="s">
        <v>2208</v>
      </c>
      <c r="B176" s="15" t="str">
        <f>Screening!I176</f>
        <v>IQTR1951773646</v>
      </c>
      <c r="C176">
        <f>Screening!F176</f>
        <v>1979.89</v>
      </c>
      <c r="D176">
        <f>Screening!L176</f>
        <v>314.33</v>
      </c>
      <c r="E176">
        <f>Screening!N176</f>
        <v>-12.3</v>
      </c>
      <c r="F176" s="16">
        <f>C176/E176</f>
        <v>-160.96666666666667</v>
      </c>
      <c r="G176" s="16">
        <f>100*(E176/D176)</f>
        <v>-3.9130849743899727</v>
      </c>
    </row>
    <row r="177" spans="1:7" hidden="1" x14ac:dyDescent="0.15">
      <c r="A177" t="s">
        <v>2209</v>
      </c>
      <c r="B177" s="15" t="str">
        <f>Screening!I177</f>
        <v>IQTR1912483360</v>
      </c>
      <c r="C177">
        <f>Screening!F177</f>
        <v>343.02</v>
      </c>
      <c r="D177">
        <f>Screening!L177</f>
        <v>312</v>
      </c>
      <c r="E177" t="str">
        <f>Screening!N177</f>
        <v>-</v>
      </c>
      <c r="F177" t="e">
        <f t="shared" si="4"/>
        <v>#VALUE!</v>
      </c>
      <c r="G177" t="e">
        <f t="shared" si="5"/>
        <v>#VALUE!</v>
      </c>
    </row>
    <row r="178" spans="1:7" hidden="1" x14ac:dyDescent="0.15">
      <c r="A178" t="s">
        <v>2210</v>
      </c>
      <c r="B178" s="15" t="str">
        <f>Screening!I178</f>
        <v>IQTR1821236740</v>
      </c>
      <c r="C178">
        <f>Screening!F178</f>
        <v>2632.82</v>
      </c>
      <c r="D178">
        <f>Screening!L178</f>
        <v>310.08</v>
      </c>
      <c r="E178" t="str">
        <f>Screening!N178</f>
        <v>-</v>
      </c>
      <c r="F178" t="e">
        <f t="shared" si="4"/>
        <v>#VALUE!</v>
      </c>
      <c r="G178" t="e">
        <f t="shared" si="5"/>
        <v>#VALUE!</v>
      </c>
    </row>
    <row r="179" spans="1:7" hidden="1" x14ac:dyDescent="0.15">
      <c r="A179" t="s">
        <v>2211</v>
      </c>
      <c r="B179" s="15" t="str">
        <f>Screening!I179</f>
        <v>IQTR1794254515</v>
      </c>
      <c r="C179">
        <f>Screening!F179</f>
        <v>3006.56</v>
      </c>
      <c r="D179">
        <f>Screening!L179</f>
        <v>308.32</v>
      </c>
      <c r="E179" t="str">
        <f>Screening!N179</f>
        <v>-</v>
      </c>
      <c r="F179" t="e">
        <f t="shared" si="4"/>
        <v>#VALUE!</v>
      </c>
      <c r="G179" t="e">
        <f t="shared" si="5"/>
        <v>#VALUE!</v>
      </c>
    </row>
    <row r="180" spans="1:7" hidden="1" x14ac:dyDescent="0.15">
      <c r="A180" t="s">
        <v>2212</v>
      </c>
      <c r="B180" s="15" t="str">
        <f>Screening!I180</f>
        <v>IQTR1935556432</v>
      </c>
      <c r="C180">
        <f>Screening!F180</f>
        <v>214.04</v>
      </c>
      <c r="D180">
        <f>Screening!L180</f>
        <v>308</v>
      </c>
      <c r="E180">
        <f>Screening!N180</f>
        <v>-23.1</v>
      </c>
      <c r="F180" s="16">
        <f>C180/E180</f>
        <v>-9.2658008658008644</v>
      </c>
      <c r="G180" s="16">
        <f>100*(E180/D180)</f>
        <v>-7.5000000000000009</v>
      </c>
    </row>
    <row r="181" spans="1:7" hidden="1" x14ac:dyDescent="0.15">
      <c r="A181" t="s">
        <v>2213</v>
      </c>
      <c r="B181" s="15" t="str">
        <f>Screening!I181</f>
        <v>IQTR1967641871</v>
      </c>
      <c r="C181" t="str">
        <f>Screening!F181</f>
        <v>-</v>
      </c>
      <c r="D181">
        <f>Screening!L181</f>
        <v>307.89999999999998</v>
      </c>
      <c r="E181">
        <f>Screening!N181</f>
        <v>31.3</v>
      </c>
      <c r="F181" t="e">
        <f t="shared" si="4"/>
        <v>#VALUE!</v>
      </c>
      <c r="G181">
        <f t="shared" si="5"/>
        <v>0.10165638194218904</v>
      </c>
    </row>
    <row r="182" spans="1:7" x14ac:dyDescent="0.15">
      <c r="A182" t="s">
        <v>2214</v>
      </c>
      <c r="B182" s="15" t="str">
        <f>Screening!I182</f>
        <v>IQTR1969539143</v>
      </c>
      <c r="C182">
        <f>Screening!F182</f>
        <v>900.9</v>
      </c>
      <c r="D182">
        <f>Screening!L182</f>
        <v>306.52999999999997</v>
      </c>
      <c r="E182">
        <f>Screening!N182</f>
        <v>125.7</v>
      </c>
      <c r="F182" s="16">
        <f>C182/E182</f>
        <v>7.1670644391408107</v>
      </c>
      <c r="G182" s="16">
        <f>100*(E182/D182)</f>
        <v>41.007405474178718</v>
      </c>
    </row>
    <row r="183" spans="1:7" hidden="1" x14ac:dyDescent="0.15">
      <c r="A183" t="s">
        <v>2215</v>
      </c>
      <c r="B183" s="15" t="str">
        <f>Screening!I183</f>
        <v>IQTR1852307327</v>
      </c>
      <c r="C183">
        <f>Screening!F183</f>
        <v>201.14</v>
      </c>
      <c r="D183">
        <f>Screening!L183</f>
        <v>305.69</v>
      </c>
      <c r="E183" t="str">
        <f>Screening!N183</f>
        <v>-</v>
      </c>
      <c r="F183" t="e">
        <f t="shared" si="4"/>
        <v>#VALUE!</v>
      </c>
      <c r="G183" t="e">
        <f t="shared" si="5"/>
        <v>#VALUE!</v>
      </c>
    </row>
    <row r="184" spans="1:7" hidden="1" x14ac:dyDescent="0.15">
      <c r="A184" t="s">
        <v>2216</v>
      </c>
      <c r="B184" s="15" t="str">
        <f>Screening!I184</f>
        <v>IQTR1819752562</v>
      </c>
      <c r="C184" t="str">
        <f>Screening!F184</f>
        <v>-</v>
      </c>
      <c r="D184">
        <f>Screening!L184</f>
        <v>301.48</v>
      </c>
      <c r="E184" t="str">
        <f>Screening!N184</f>
        <v>-</v>
      </c>
      <c r="F184" t="e">
        <f t="shared" si="4"/>
        <v>#VALUE!</v>
      </c>
      <c r="G184" t="e">
        <f t="shared" si="5"/>
        <v>#VALUE!</v>
      </c>
    </row>
    <row r="185" spans="1:7" hidden="1" x14ac:dyDescent="0.15">
      <c r="A185" t="s">
        <v>2217</v>
      </c>
      <c r="B185" s="15" t="str">
        <f>Screening!I185</f>
        <v>IQTR1825202480</v>
      </c>
      <c r="C185">
        <f>Screening!F185</f>
        <v>1699.56</v>
      </c>
      <c r="D185">
        <f>Screening!L185</f>
        <v>300.67</v>
      </c>
      <c r="E185" t="str">
        <f>Screening!N185</f>
        <v>-</v>
      </c>
      <c r="F185" t="e">
        <f t="shared" si="4"/>
        <v>#VALUE!</v>
      </c>
      <c r="G185" t="e">
        <f t="shared" si="5"/>
        <v>#VALUE!</v>
      </c>
    </row>
    <row r="186" spans="1:7" hidden="1" x14ac:dyDescent="0.15">
      <c r="A186" t="s">
        <v>2218</v>
      </c>
      <c r="B186" s="15" t="str">
        <f>Screening!I186</f>
        <v>IQTR1958740078</v>
      </c>
      <c r="C186">
        <f>Screening!F186</f>
        <v>36.53</v>
      </c>
      <c r="D186">
        <f>Screening!L186</f>
        <v>297.43</v>
      </c>
      <c r="E186">
        <f>Screening!N186</f>
        <v>30.9</v>
      </c>
      <c r="F186" s="16">
        <f>C186/E186</f>
        <v>1.1822006472491911</v>
      </c>
      <c r="G186" s="16">
        <f>100*(E186/D186)</f>
        <v>10.388999092223379</v>
      </c>
    </row>
    <row r="187" spans="1:7" hidden="1" x14ac:dyDescent="0.15">
      <c r="A187" t="s">
        <v>2219</v>
      </c>
      <c r="B187" s="15" t="str">
        <f>Screening!I187</f>
        <v>IQTR1683175217</v>
      </c>
      <c r="C187" t="str">
        <f>Screening!F187</f>
        <v>-</v>
      </c>
      <c r="D187">
        <f>Screening!L187</f>
        <v>293.39</v>
      </c>
      <c r="E187" t="str">
        <f>Screening!N187</f>
        <v>-</v>
      </c>
      <c r="F187" t="e">
        <f t="shared" si="4"/>
        <v>#VALUE!</v>
      </c>
      <c r="G187" t="e">
        <f t="shared" si="5"/>
        <v>#VALUE!</v>
      </c>
    </row>
    <row r="188" spans="1:7" hidden="1" x14ac:dyDescent="0.15">
      <c r="A188" t="s">
        <v>2220</v>
      </c>
      <c r="B188" s="15" t="str">
        <f>Screening!I188</f>
        <v>IQTR1832770676</v>
      </c>
      <c r="C188">
        <f>Screening!F188</f>
        <v>53.5</v>
      </c>
      <c r="D188">
        <f>Screening!L188</f>
        <v>291.52999999999997</v>
      </c>
      <c r="E188" t="str">
        <f>Screening!N188</f>
        <v>-</v>
      </c>
      <c r="F188" t="e">
        <f t="shared" si="4"/>
        <v>#VALUE!</v>
      </c>
      <c r="G188" t="e">
        <f t="shared" si="5"/>
        <v>#VALUE!</v>
      </c>
    </row>
    <row r="189" spans="1:7" hidden="1" x14ac:dyDescent="0.15">
      <c r="A189" t="s">
        <v>2221</v>
      </c>
      <c r="B189" s="15" t="str">
        <f>Screening!I189</f>
        <v>IQTR1801007155</v>
      </c>
      <c r="C189">
        <f>Screening!F189</f>
        <v>3451.22</v>
      </c>
      <c r="D189">
        <f>Screening!L189</f>
        <v>289.19</v>
      </c>
      <c r="E189" t="str">
        <f>Screening!N189</f>
        <v>-</v>
      </c>
      <c r="F189" t="e">
        <f t="shared" si="4"/>
        <v>#VALUE!</v>
      </c>
      <c r="G189" t="e">
        <f t="shared" si="5"/>
        <v>#VALUE!</v>
      </c>
    </row>
    <row r="190" spans="1:7" x14ac:dyDescent="0.15">
      <c r="A190" t="s">
        <v>2222</v>
      </c>
      <c r="B190" s="15" t="str">
        <f>Screening!I190</f>
        <v>IQTR1913989358</v>
      </c>
      <c r="C190">
        <f>Screening!F190</f>
        <v>444.57</v>
      </c>
      <c r="D190">
        <f>Screening!L190</f>
        <v>288.89999999999998</v>
      </c>
      <c r="E190">
        <f>Screening!N190</f>
        <v>83.5</v>
      </c>
      <c r="F190" s="16">
        <f t="shared" si="4"/>
        <v>5.3241916167664671</v>
      </c>
      <c r="G190" s="16">
        <f>100*(E190/D190)</f>
        <v>28.902734510211147</v>
      </c>
    </row>
    <row r="191" spans="1:7" hidden="1" x14ac:dyDescent="0.15">
      <c r="A191" t="s">
        <v>2223</v>
      </c>
      <c r="B191" s="15" t="str">
        <f>Screening!I191</f>
        <v>IQTR1871775426</v>
      </c>
      <c r="C191">
        <f>Screening!F191</f>
        <v>5871.78</v>
      </c>
      <c r="D191">
        <f>Screening!L191</f>
        <v>282.3</v>
      </c>
      <c r="E191">
        <f>Screening!N191</f>
        <v>63.3</v>
      </c>
      <c r="F191" s="16">
        <f t="shared" si="4"/>
        <v>92.76113744075829</v>
      </c>
      <c r="G191" s="16">
        <f>100*(E191/D191)</f>
        <v>22.422954303931984</v>
      </c>
    </row>
    <row r="192" spans="1:7" hidden="1" x14ac:dyDescent="0.15">
      <c r="A192" t="s">
        <v>2224</v>
      </c>
      <c r="B192" s="15" t="str">
        <f>Screening!I192</f>
        <v>IQTR1774545649</v>
      </c>
      <c r="C192">
        <f>Screening!F192</f>
        <v>316.10000000000002</v>
      </c>
      <c r="D192">
        <f>Screening!L192</f>
        <v>279.70999999999998</v>
      </c>
      <c r="E192" t="str">
        <f>Screening!N192</f>
        <v>-</v>
      </c>
      <c r="F192" t="e">
        <f t="shared" si="4"/>
        <v>#VALUE!</v>
      </c>
      <c r="G192" t="e">
        <f t="shared" si="5"/>
        <v>#VALUE!</v>
      </c>
    </row>
    <row r="193" spans="1:7" hidden="1" x14ac:dyDescent="0.15">
      <c r="A193" t="s">
        <v>2225</v>
      </c>
      <c r="B193" s="15" t="str">
        <f>Screening!I193</f>
        <v>IQTR1792869527</v>
      </c>
      <c r="C193">
        <f>Screening!F193</f>
        <v>99.56</v>
      </c>
      <c r="D193">
        <f>Screening!L193</f>
        <v>279.70999999999998</v>
      </c>
      <c r="E193" t="str">
        <f>Screening!N193</f>
        <v>-</v>
      </c>
      <c r="F193" t="e">
        <f t="shared" si="4"/>
        <v>#VALUE!</v>
      </c>
      <c r="G193" t="e">
        <f t="shared" si="5"/>
        <v>#VALUE!</v>
      </c>
    </row>
    <row r="194" spans="1:7" hidden="1" x14ac:dyDescent="0.15">
      <c r="A194" t="s">
        <v>2226</v>
      </c>
      <c r="B194" s="15" t="str">
        <f>Screening!I194</f>
        <v>IQTR1681351178</v>
      </c>
      <c r="C194">
        <f>Screening!F194</f>
        <v>934.51</v>
      </c>
      <c r="D194">
        <f>Screening!L194</f>
        <v>279.39999999999998</v>
      </c>
      <c r="E194" t="str">
        <f>Screening!N194</f>
        <v>-</v>
      </c>
      <c r="F194" t="e">
        <f t="shared" si="4"/>
        <v>#VALUE!</v>
      </c>
      <c r="G194" t="e">
        <f t="shared" si="5"/>
        <v>#VALUE!</v>
      </c>
    </row>
    <row r="195" spans="1:7" hidden="1" x14ac:dyDescent="0.15">
      <c r="A195" t="s">
        <v>2227</v>
      </c>
      <c r="B195" s="15" t="str">
        <f>Screening!I195</f>
        <v>IQTR1797996299</v>
      </c>
      <c r="C195">
        <f>Screening!F195</f>
        <v>21.57</v>
      </c>
      <c r="D195">
        <f>Screening!L195</f>
        <v>275.39</v>
      </c>
      <c r="E195" t="str">
        <f>Screening!N195</f>
        <v>-</v>
      </c>
      <c r="F195" t="e">
        <f t="shared" ref="F195:F258" si="6">C195/E195</f>
        <v>#VALUE!</v>
      </c>
      <c r="G195" t="e">
        <f t="shared" ref="G195:G257" si="7">E195/D195</f>
        <v>#VALUE!</v>
      </c>
    </row>
    <row r="196" spans="1:7" hidden="1" x14ac:dyDescent="0.15">
      <c r="A196" t="s">
        <v>2228</v>
      </c>
      <c r="B196" s="15" t="str">
        <f>Screening!I196</f>
        <v>IQTR1774247816</v>
      </c>
      <c r="C196">
        <f>Screening!F196</f>
        <v>102.25</v>
      </c>
      <c r="D196">
        <f>Screening!L196</f>
        <v>274.76</v>
      </c>
      <c r="E196" t="str">
        <f>Screening!N196</f>
        <v>-</v>
      </c>
      <c r="F196" t="e">
        <f t="shared" si="6"/>
        <v>#VALUE!</v>
      </c>
      <c r="G196" t="e">
        <f t="shared" si="7"/>
        <v>#VALUE!</v>
      </c>
    </row>
    <row r="197" spans="1:7" hidden="1" x14ac:dyDescent="0.15">
      <c r="A197" t="s">
        <v>2229</v>
      </c>
      <c r="B197" s="15" t="str">
        <f>Screening!I197</f>
        <v>IQTR1860339971</v>
      </c>
      <c r="C197">
        <f>Screening!F197</f>
        <v>910</v>
      </c>
      <c r="D197">
        <f>Screening!L197</f>
        <v>274.58999999999997</v>
      </c>
      <c r="E197" t="str">
        <f>Screening!N197</f>
        <v>-</v>
      </c>
      <c r="F197" t="e">
        <f t="shared" si="6"/>
        <v>#VALUE!</v>
      </c>
      <c r="G197" t="e">
        <f t="shared" si="7"/>
        <v>#VALUE!</v>
      </c>
    </row>
    <row r="198" spans="1:7" x14ac:dyDescent="0.15">
      <c r="A198" t="s">
        <v>2230</v>
      </c>
      <c r="B198" s="15" t="str">
        <f>Screening!I198</f>
        <v>IQTR1962910014</v>
      </c>
      <c r="C198">
        <f>Screening!F198</f>
        <v>319.98</v>
      </c>
      <c r="D198">
        <f>Screening!L198</f>
        <v>273.57</v>
      </c>
      <c r="E198">
        <f>Screening!N198</f>
        <v>35.700000000000003</v>
      </c>
      <c r="F198" s="16">
        <f t="shared" si="6"/>
        <v>8.9630252100840337</v>
      </c>
      <c r="G198" s="16">
        <f>100*(E198/D198)</f>
        <v>13.049676499616186</v>
      </c>
    </row>
    <row r="199" spans="1:7" hidden="1" x14ac:dyDescent="0.15">
      <c r="A199" t="s">
        <v>2231</v>
      </c>
      <c r="B199" s="15" t="str">
        <f>Screening!I199</f>
        <v>IQTR1873130430</v>
      </c>
      <c r="C199">
        <f>Screening!F199</f>
        <v>33.99</v>
      </c>
      <c r="D199">
        <f>Screening!L199</f>
        <v>273</v>
      </c>
      <c r="E199">
        <f>Screening!N199</f>
        <v>-34.5</v>
      </c>
      <c r="F199" s="16">
        <f t="shared" si="6"/>
        <v>-0.98521739130434793</v>
      </c>
      <c r="G199" s="16">
        <f>100*(E199/D199)</f>
        <v>-12.637362637362637</v>
      </c>
    </row>
    <row r="200" spans="1:7" hidden="1" x14ac:dyDescent="0.15">
      <c r="A200" t="s">
        <v>2232</v>
      </c>
      <c r="B200" s="15" t="str">
        <f>Screening!I200</f>
        <v>IQTR1887782085</v>
      </c>
      <c r="C200" t="str">
        <f>Screening!F200</f>
        <v>-</v>
      </c>
      <c r="D200">
        <f>Screening!L200</f>
        <v>272.76</v>
      </c>
      <c r="E200">
        <f>Screening!N200</f>
        <v>125.7</v>
      </c>
      <c r="F200" t="e">
        <f t="shared" si="6"/>
        <v>#VALUE!</v>
      </c>
      <c r="G200">
        <f t="shared" si="7"/>
        <v>0.46084469863616367</v>
      </c>
    </row>
    <row r="201" spans="1:7" hidden="1" x14ac:dyDescent="0.15">
      <c r="A201" t="s">
        <v>2233</v>
      </c>
      <c r="B201" s="15" t="str">
        <f>Screening!I201</f>
        <v>IQTR1883893036</v>
      </c>
      <c r="C201">
        <f>Screening!F201</f>
        <v>1378.44</v>
      </c>
      <c r="D201">
        <f>Screening!L201</f>
        <v>269.64</v>
      </c>
      <c r="E201" t="str">
        <f>Screening!N201</f>
        <v>-</v>
      </c>
      <c r="F201" t="e">
        <f t="shared" si="6"/>
        <v>#VALUE!</v>
      </c>
      <c r="G201" t="e">
        <f t="shared" si="7"/>
        <v>#VALUE!</v>
      </c>
    </row>
    <row r="202" spans="1:7" hidden="1" x14ac:dyDescent="0.15">
      <c r="A202" t="s">
        <v>2234</v>
      </c>
      <c r="B202" s="15" t="str">
        <f>Screening!I202</f>
        <v>IQTR1825284599</v>
      </c>
      <c r="C202">
        <f>Screening!F202</f>
        <v>19.579999999999998</v>
      </c>
      <c r="D202">
        <f>Screening!L202</f>
        <v>262.77</v>
      </c>
      <c r="E202">
        <f>Screening!N202</f>
        <v>35.6</v>
      </c>
      <c r="F202" s="16">
        <f t="shared" si="6"/>
        <v>0.54999999999999993</v>
      </c>
      <c r="G202" s="16">
        <f>100*(E202/D202)</f>
        <v>13.547969707348633</v>
      </c>
    </row>
    <row r="203" spans="1:7" hidden="1" x14ac:dyDescent="0.15">
      <c r="A203" t="s">
        <v>2235</v>
      </c>
      <c r="B203" s="15" t="str">
        <f>Screening!I203</f>
        <v>IQTR1778700883</v>
      </c>
      <c r="C203">
        <f>Screening!F203</f>
        <v>40.57</v>
      </c>
      <c r="D203">
        <f>Screening!L203</f>
        <v>259.48</v>
      </c>
      <c r="E203">
        <f>Screening!N203</f>
        <v>11.3</v>
      </c>
      <c r="F203" s="16">
        <f t="shared" si="6"/>
        <v>3.5902654867256634</v>
      </c>
      <c r="G203" s="16">
        <f>100*(E203/D203)</f>
        <v>4.354863573300447</v>
      </c>
    </row>
    <row r="204" spans="1:7" hidden="1" x14ac:dyDescent="0.15">
      <c r="A204" t="s">
        <v>2236</v>
      </c>
      <c r="B204" s="15" t="str">
        <f>Screening!I204</f>
        <v>IQTR1871178584</v>
      </c>
      <c r="C204">
        <f>Screening!F204</f>
        <v>340.41</v>
      </c>
      <c r="D204">
        <f>Screening!L204</f>
        <v>259.16000000000003</v>
      </c>
      <c r="E204" t="str">
        <f>Screening!N204</f>
        <v>-</v>
      </c>
      <c r="F204" t="e">
        <f t="shared" si="6"/>
        <v>#VALUE!</v>
      </c>
      <c r="G204" t="e">
        <f t="shared" si="7"/>
        <v>#VALUE!</v>
      </c>
    </row>
    <row r="205" spans="1:7" hidden="1" x14ac:dyDescent="0.15">
      <c r="A205" t="s">
        <v>2237</v>
      </c>
      <c r="B205" s="15" t="str">
        <f>Screening!I205</f>
        <v>IQTR1819614797</v>
      </c>
      <c r="C205">
        <f>Screening!F205</f>
        <v>85.82</v>
      </c>
      <c r="D205">
        <f>Screening!L205</f>
        <v>258.04000000000002</v>
      </c>
      <c r="E205" t="str">
        <f>Screening!N205</f>
        <v>-</v>
      </c>
      <c r="F205" t="e">
        <f t="shared" si="6"/>
        <v>#VALUE!</v>
      </c>
      <c r="G205" t="e">
        <f t="shared" si="7"/>
        <v>#VALUE!</v>
      </c>
    </row>
    <row r="206" spans="1:7" hidden="1" x14ac:dyDescent="0.15">
      <c r="A206" t="s">
        <v>2238</v>
      </c>
      <c r="B206" s="15" t="str">
        <f>Screening!I206</f>
        <v>IQTR1682812742</v>
      </c>
      <c r="C206">
        <f>Screening!F206</f>
        <v>139.11000000000001</v>
      </c>
      <c r="D206">
        <f>Screening!L206</f>
        <v>256.32</v>
      </c>
      <c r="E206">
        <f>Screening!N206</f>
        <v>35.6</v>
      </c>
      <c r="F206" s="16">
        <f>C206/E206</f>
        <v>3.9075842696629217</v>
      </c>
      <c r="G206" s="16">
        <f>100*(E206/D206)</f>
        <v>13.888888888888889</v>
      </c>
    </row>
    <row r="207" spans="1:7" hidden="1" x14ac:dyDescent="0.15">
      <c r="A207" t="s">
        <v>2239</v>
      </c>
      <c r="B207" s="15" t="str">
        <f>Screening!I207</f>
        <v>IQTR1877508870</v>
      </c>
      <c r="C207">
        <f>Screening!F207</f>
        <v>1495.09</v>
      </c>
      <c r="D207">
        <f>Screening!L207</f>
        <v>256.31</v>
      </c>
      <c r="E207" t="str">
        <f>Screening!N207</f>
        <v>-</v>
      </c>
      <c r="F207" t="e">
        <f t="shared" si="6"/>
        <v>#VALUE!</v>
      </c>
      <c r="G207" t="e">
        <f t="shared" si="7"/>
        <v>#VALUE!</v>
      </c>
    </row>
    <row r="208" spans="1:7" hidden="1" x14ac:dyDescent="0.15">
      <c r="A208" t="s">
        <v>2240</v>
      </c>
      <c r="B208" s="15" t="str">
        <f>Screening!I208</f>
        <v>IQTR1818163486</v>
      </c>
      <c r="C208" t="str">
        <f>Screening!F208</f>
        <v>-</v>
      </c>
      <c r="D208">
        <f>Screening!L208</f>
        <v>254.39</v>
      </c>
      <c r="E208">
        <f>Screening!N208</f>
        <v>45.4</v>
      </c>
      <c r="F208" t="e">
        <f t="shared" si="6"/>
        <v>#VALUE!</v>
      </c>
      <c r="G208">
        <f t="shared" si="7"/>
        <v>0.17846613467510516</v>
      </c>
    </row>
    <row r="209" spans="1:7" hidden="1" x14ac:dyDescent="0.15">
      <c r="A209" t="s">
        <v>2241</v>
      </c>
      <c r="B209" s="15" t="str">
        <f>Screening!I209</f>
        <v>IQTR1863472255</v>
      </c>
      <c r="C209">
        <f>Screening!F209</f>
        <v>940.75</v>
      </c>
      <c r="D209">
        <f>Screening!L209</f>
        <v>251</v>
      </c>
      <c r="E209" t="str">
        <f>Screening!N209</f>
        <v>-</v>
      </c>
      <c r="F209" t="e">
        <f t="shared" si="6"/>
        <v>#VALUE!</v>
      </c>
      <c r="G209" t="e">
        <f t="shared" si="7"/>
        <v>#VALUE!</v>
      </c>
    </row>
    <row r="210" spans="1:7" hidden="1" x14ac:dyDescent="0.15">
      <c r="A210" t="s">
        <v>2242</v>
      </c>
      <c r="B210" s="15" t="str">
        <f>Screening!I210</f>
        <v>IQTR1759782244</v>
      </c>
      <c r="C210" t="str">
        <f>Screening!F210</f>
        <v>-</v>
      </c>
      <c r="D210">
        <f>Screening!L210</f>
        <v>249.4</v>
      </c>
      <c r="E210" t="str">
        <f>Screening!N210</f>
        <v>-</v>
      </c>
      <c r="F210" t="e">
        <f t="shared" si="6"/>
        <v>#VALUE!</v>
      </c>
      <c r="G210" t="e">
        <f t="shared" si="7"/>
        <v>#VALUE!</v>
      </c>
    </row>
    <row r="211" spans="1:7" hidden="1" x14ac:dyDescent="0.15">
      <c r="A211" t="s">
        <v>2243</v>
      </c>
      <c r="B211" s="15" t="str">
        <f>Screening!I211</f>
        <v>IQTR1813989254</v>
      </c>
      <c r="C211">
        <f>Screening!F211</f>
        <v>583</v>
      </c>
      <c r="D211">
        <f>Screening!L211</f>
        <v>249.11</v>
      </c>
      <c r="E211" t="str">
        <f>Screening!N211</f>
        <v>-</v>
      </c>
      <c r="F211" t="e">
        <f t="shared" si="6"/>
        <v>#VALUE!</v>
      </c>
      <c r="G211" t="e">
        <f t="shared" si="7"/>
        <v>#VALUE!</v>
      </c>
    </row>
    <row r="212" spans="1:7" hidden="1" x14ac:dyDescent="0.15">
      <c r="A212" t="s">
        <v>2244</v>
      </c>
      <c r="B212" s="15" t="str">
        <f>Screening!I212</f>
        <v>IQTR1866608145</v>
      </c>
      <c r="C212">
        <f>Screening!F212</f>
        <v>346.82</v>
      </c>
      <c r="D212">
        <f>Screening!L212</f>
        <v>246.97</v>
      </c>
      <c r="E212" t="str">
        <f>Screening!N212</f>
        <v>-</v>
      </c>
      <c r="F212" t="e">
        <f t="shared" si="6"/>
        <v>#VALUE!</v>
      </c>
      <c r="G212" t="e">
        <f t="shared" si="7"/>
        <v>#VALUE!</v>
      </c>
    </row>
    <row r="213" spans="1:7" hidden="1" x14ac:dyDescent="0.15">
      <c r="A213" t="s">
        <v>2245</v>
      </c>
      <c r="B213" s="15" t="str">
        <f>Screening!I213</f>
        <v>IQTR1945534225</v>
      </c>
      <c r="C213" t="str">
        <f>Screening!F213</f>
        <v>-</v>
      </c>
      <c r="D213">
        <f>Screening!L213</f>
        <v>246.93</v>
      </c>
      <c r="E213" t="str">
        <f>Screening!N213</f>
        <v>-</v>
      </c>
      <c r="F213" t="e">
        <f t="shared" si="6"/>
        <v>#VALUE!</v>
      </c>
      <c r="G213" t="e">
        <f t="shared" si="7"/>
        <v>#VALUE!</v>
      </c>
    </row>
    <row r="214" spans="1:7" hidden="1" x14ac:dyDescent="0.15">
      <c r="A214" t="s">
        <v>2246</v>
      </c>
      <c r="B214" s="15" t="str">
        <f>Screening!I214</f>
        <v>IQTR1757381756</v>
      </c>
      <c r="C214">
        <f>Screening!F214</f>
        <v>922.97</v>
      </c>
      <c r="D214">
        <f>Screening!L214</f>
        <v>245.56</v>
      </c>
      <c r="E214" t="str">
        <f>Screening!N214</f>
        <v>-</v>
      </c>
      <c r="F214" t="e">
        <f t="shared" si="6"/>
        <v>#VALUE!</v>
      </c>
      <c r="G214" t="e">
        <f t="shared" si="7"/>
        <v>#VALUE!</v>
      </c>
    </row>
    <row r="215" spans="1:7" hidden="1" x14ac:dyDescent="0.15">
      <c r="A215" t="s">
        <v>2247</v>
      </c>
      <c r="B215" s="15" t="str">
        <f>Screening!I215</f>
        <v>IQTR1848366456</v>
      </c>
      <c r="C215">
        <f>Screening!F215</f>
        <v>17.47</v>
      </c>
      <c r="D215">
        <f>Screening!L215</f>
        <v>244.42</v>
      </c>
      <c r="E215">
        <f>Screening!N215</f>
        <v>9.91</v>
      </c>
      <c r="F215" s="16">
        <f>C215/E215</f>
        <v>1.7628657921291624</v>
      </c>
      <c r="G215" s="16">
        <f>100*(E215/D215)</f>
        <v>4.0544963587267819</v>
      </c>
    </row>
    <row r="216" spans="1:7" hidden="1" x14ac:dyDescent="0.15">
      <c r="A216" t="s">
        <v>2248</v>
      </c>
      <c r="B216" s="15" t="str">
        <f>Screening!I216</f>
        <v>IQTR1860070103</v>
      </c>
      <c r="C216">
        <f>Screening!F216</f>
        <v>651.26</v>
      </c>
      <c r="D216">
        <f>Screening!L216</f>
        <v>243.25</v>
      </c>
      <c r="E216" t="str">
        <f>Screening!N216</f>
        <v>-</v>
      </c>
      <c r="F216" t="e">
        <f t="shared" si="6"/>
        <v>#VALUE!</v>
      </c>
      <c r="G216" t="e">
        <f t="shared" si="7"/>
        <v>#VALUE!</v>
      </c>
    </row>
    <row r="217" spans="1:7" hidden="1" x14ac:dyDescent="0.15">
      <c r="A217" t="s">
        <v>2249</v>
      </c>
      <c r="B217" s="15" t="str">
        <f>Screening!I217</f>
        <v>IQTR1684766634</v>
      </c>
      <c r="C217">
        <f>Screening!F217</f>
        <v>356.65</v>
      </c>
      <c r="D217">
        <f>Screening!L217</f>
        <v>241.34</v>
      </c>
      <c r="E217" t="str">
        <f>Screening!N217</f>
        <v>-</v>
      </c>
      <c r="F217" t="e">
        <f t="shared" si="6"/>
        <v>#VALUE!</v>
      </c>
      <c r="G217" t="e">
        <f t="shared" si="7"/>
        <v>#VALUE!</v>
      </c>
    </row>
    <row r="218" spans="1:7" hidden="1" x14ac:dyDescent="0.15">
      <c r="A218" t="s">
        <v>2250</v>
      </c>
      <c r="B218" s="15" t="str">
        <f>Screening!I218</f>
        <v>IQTR1955505798</v>
      </c>
      <c r="C218">
        <f>Screening!F218</f>
        <v>98.2</v>
      </c>
      <c r="D218">
        <f>Screening!L218</f>
        <v>240.02</v>
      </c>
      <c r="E218">
        <f>Screening!N218</f>
        <v>11.3</v>
      </c>
      <c r="F218" s="16">
        <f t="shared" si="6"/>
        <v>8.6902654867256626</v>
      </c>
      <c r="G218" s="16">
        <f>100*(E218/D218)</f>
        <v>4.7079410049162576</v>
      </c>
    </row>
    <row r="219" spans="1:7" hidden="1" x14ac:dyDescent="0.15">
      <c r="A219" t="s">
        <v>2251</v>
      </c>
      <c r="B219" s="15" t="str">
        <f>Screening!I219</f>
        <v>IQTR1996293988</v>
      </c>
      <c r="C219">
        <f>Screening!F219</f>
        <v>438.95</v>
      </c>
      <c r="D219">
        <f>Screening!L219</f>
        <v>236</v>
      </c>
      <c r="E219">
        <f>Screening!N219</f>
        <v>1.29</v>
      </c>
      <c r="F219" s="16">
        <f t="shared" si="6"/>
        <v>340.27131782945736</v>
      </c>
      <c r="G219" s="16">
        <f>100*(E219/D219)</f>
        <v>0.54661016949152552</v>
      </c>
    </row>
    <row r="220" spans="1:7" hidden="1" x14ac:dyDescent="0.15">
      <c r="A220" t="s">
        <v>2252</v>
      </c>
      <c r="B220" s="15" t="str">
        <f>Screening!I220</f>
        <v>IQTR1871013178</v>
      </c>
      <c r="C220">
        <f>Screening!F220</f>
        <v>322.61</v>
      </c>
      <c r="D220">
        <f>Screening!L220</f>
        <v>233.3</v>
      </c>
      <c r="E220" t="str">
        <f>Screening!N220</f>
        <v>-</v>
      </c>
      <c r="F220" t="e">
        <f t="shared" si="6"/>
        <v>#VALUE!</v>
      </c>
      <c r="G220" t="e">
        <f t="shared" si="7"/>
        <v>#VALUE!</v>
      </c>
    </row>
    <row r="221" spans="1:7" hidden="1" x14ac:dyDescent="0.15">
      <c r="A221" t="s">
        <v>2253</v>
      </c>
      <c r="B221" s="15" t="str">
        <f>Screening!I221</f>
        <v>IQTR1987468048</v>
      </c>
      <c r="C221">
        <f>Screening!F221</f>
        <v>1216.0999999999999</v>
      </c>
      <c r="D221">
        <f>Screening!L221</f>
        <v>231</v>
      </c>
      <c r="E221" t="str">
        <f>Screening!N221</f>
        <v>-</v>
      </c>
      <c r="F221" t="e">
        <f t="shared" si="6"/>
        <v>#VALUE!</v>
      </c>
      <c r="G221" t="e">
        <f t="shared" si="7"/>
        <v>#VALUE!</v>
      </c>
    </row>
    <row r="222" spans="1:7" hidden="1" x14ac:dyDescent="0.15">
      <c r="A222" t="s">
        <v>2254</v>
      </c>
      <c r="B222" s="15" t="str">
        <f>Screening!I222</f>
        <v>IQTR1760644868</v>
      </c>
      <c r="C222">
        <f>Screening!F222</f>
        <v>1705.87</v>
      </c>
      <c r="D222">
        <f>Screening!L222</f>
        <v>228.96</v>
      </c>
      <c r="E222" t="str">
        <f>Screening!N222</f>
        <v>-</v>
      </c>
      <c r="F222" t="e">
        <f t="shared" si="6"/>
        <v>#VALUE!</v>
      </c>
      <c r="G222" t="e">
        <f t="shared" si="7"/>
        <v>#VALUE!</v>
      </c>
    </row>
    <row r="223" spans="1:7" hidden="1" x14ac:dyDescent="0.15">
      <c r="A223" t="s">
        <v>2255</v>
      </c>
      <c r="B223" s="15" t="str">
        <f>Screening!I223</f>
        <v>IQTR1816624270</v>
      </c>
      <c r="C223">
        <f>Screening!F223</f>
        <v>34.979999999999997</v>
      </c>
      <c r="D223">
        <f>Screening!L223</f>
        <v>227.54</v>
      </c>
      <c r="E223">
        <f>Screening!N223</f>
        <v>11.3</v>
      </c>
      <c r="F223" s="16">
        <f>C223/E223</f>
        <v>3.0955752212389376</v>
      </c>
      <c r="G223" s="16">
        <f>100*(E223/D223)</f>
        <v>4.9661597960798112</v>
      </c>
    </row>
    <row r="224" spans="1:7" hidden="1" x14ac:dyDescent="0.15">
      <c r="A224" t="s">
        <v>2256</v>
      </c>
      <c r="B224" s="15" t="str">
        <f>Screening!I224</f>
        <v>IQTR1954164376</v>
      </c>
      <c r="C224" t="str">
        <f>Screening!F224</f>
        <v>-</v>
      </c>
      <c r="D224">
        <f>Screening!L224</f>
        <v>227.19</v>
      </c>
      <c r="E224" t="str">
        <f>Screening!N224</f>
        <v>-</v>
      </c>
      <c r="F224" t="e">
        <f t="shared" si="6"/>
        <v>#VALUE!</v>
      </c>
      <c r="G224" t="e">
        <f t="shared" si="7"/>
        <v>#VALUE!</v>
      </c>
    </row>
    <row r="225" spans="1:7" hidden="1" x14ac:dyDescent="0.15">
      <c r="A225" t="s">
        <v>2257</v>
      </c>
      <c r="B225" s="15" t="str">
        <f>Screening!I225</f>
        <v>IQTR1813442470</v>
      </c>
      <c r="C225">
        <f>Screening!F225</f>
        <v>717.91</v>
      </c>
      <c r="D225">
        <f>Screening!L225</f>
        <v>226.99</v>
      </c>
      <c r="E225" t="str">
        <f>Screening!N225</f>
        <v>-</v>
      </c>
      <c r="F225" t="e">
        <f t="shared" si="6"/>
        <v>#VALUE!</v>
      </c>
      <c r="G225" t="e">
        <f t="shared" si="7"/>
        <v>#VALUE!</v>
      </c>
    </row>
    <row r="226" spans="1:7" x14ac:dyDescent="0.15">
      <c r="A226" t="s">
        <v>2258</v>
      </c>
      <c r="B226" s="15" t="str">
        <f>Screening!I226</f>
        <v>IQTR1914744113</v>
      </c>
      <c r="C226">
        <f>Screening!F226</f>
        <v>279.26</v>
      </c>
      <c r="D226">
        <f>Screening!L226</f>
        <v>225.74</v>
      </c>
      <c r="E226">
        <f>Screening!N226</f>
        <v>41.3</v>
      </c>
      <c r="F226" s="16">
        <f t="shared" si="6"/>
        <v>6.7617433414043582</v>
      </c>
      <c r="G226" s="16">
        <f>100*(E226/D226)</f>
        <v>18.29538407016922</v>
      </c>
    </row>
    <row r="227" spans="1:7" hidden="1" x14ac:dyDescent="0.15">
      <c r="A227" t="s">
        <v>2259</v>
      </c>
      <c r="B227" s="15" t="str">
        <f>Screening!I227</f>
        <v>IQTR1879987360</v>
      </c>
      <c r="C227">
        <f>Screening!F227</f>
        <v>151.94999999999999</v>
      </c>
      <c r="D227">
        <f>Screening!L227</f>
        <v>225.74</v>
      </c>
      <c r="E227">
        <f>Screening!N227</f>
        <v>41.3</v>
      </c>
      <c r="F227" s="16">
        <f t="shared" si="6"/>
        <v>3.679176755447942</v>
      </c>
      <c r="G227" s="16">
        <f>100*(E227/D227)</f>
        <v>18.29538407016922</v>
      </c>
    </row>
    <row r="228" spans="1:7" hidden="1" x14ac:dyDescent="0.15">
      <c r="A228" t="s">
        <v>2260</v>
      </c>
      <c r="B228" s="15" t="str">
        <f>Screening!I228</f>
        <v>IQTR1880003425</v>
      </c>
      <c r="C228">
        <f>Screening!F228</f>
        <v>21.49</v>
      </c>
      <c r="D228">
        <f>Screening!L228</f>
        <v>225.74</v>
      </c>
      <c r="E228">
        <f>Screening!N228</f>
        <v>41.3</v>
      </c>
      <c r="F228" s="16">
        <f t="shared" si="6"/>
        <v>0.52033898305084747</v>
      </c>
      <c r="G228" s="16">
        <f>100*(E228/D228)</f>
        <v>18.29538407016922</v>
      </c>
    </row>
    <row r="229" spans="1:7" hidden="1" x14ac:dyDescent="0.15">
      <c r="A229" t="s">
        <v>2261</v>
      </c>
      <c r="B229" s="15" t="str">
        <f>Screening!I229</f>
        <v>IQTR1944197956</v>
      </c>
      <c r="C229" t="str">
        <f>Screening!F229</f>
        <v>-</v>
      </c>
      <c r="D229">
        <f>Screening!L229</f>
        <v>225.17</v>
      </c>
      <c r="E229" t="str">
        <f>Screening!N229</f>
        <v>-</v>
      </c>
      <c r="F229" t="e">
        <f t="shared" si="6"/>
        <v>#VALUE!</v>
      </c>
      <c r="G229" t="e">
        <f t="shared" si="7"/>
        <v>#VALUE!</v>
      </c>
    </row>
    <row r="230" spans="1:7" hidden="1" x14ac:dyDescent="0.15">
      <c r="A230" t="s">
        <v>2262</v>
      </c>
      <c r="B230" s="15" t="str">
        <f>Screening!I230</f>
        <v>IQTR1773159845</v>
      </c>
      <c r="C230">
        <f>Screening!F230</f>
        <v>1111.48</v>
      </c>
      <c r="D230">
        <f>Screening!L230</f>
        <v>222.3</v>
      </c>
      <c r="E230" t="str">
        <f>Screening!N230</f>
        <v>-</v>
      </c>
      <c r="F230" t="e">
        <f t="shared" si="6"/>
        <v>#VALUE!</v>
      </c>
      <c r="G230" t="e">
        <f t="shared" si="7"/>
        <v>#VALUE!</v>
      </c>
    </row>
    <row r="231" spans="1:7" hidden="1" x14ac:dyDescent="0.15">
      <c r="A231" t="s">
        <v>2263</v>
      </c>
      <c r="B231" s="15" t="str">
        <f>Screening!I231</f>
        <v>IQTR1837531418</v>
      </c>
      <c r="C231">
        <f>Screening!F231</f>
        <v>929.04</v>
      </c>
      <c r="D231">
        <f>Screening!L231</f>
        <v>222.06</v>
      </c>
      <c r="E231" t="str">
        <f>Screening!N231</f>
        <v>-</v>
      </c>
      <c r="F231" t="e">
        <f t="shared" si="6"/>
        <v>#VALUE!</v>
      </c>
      <c r="G231" t="e">
        <f t="shared" si="7"/>
        <v>#VALUE!</v>
      </c>
    </row>
    <row r="232" spans="1:7" hidden="1" x14ac:dyDescent="0.15">
      <c r="A232" t="s">
        <v>2264</v>
      </c>
      <c r="B232" s="15" t="str">
        <f>Screening!I232</f>
        <v>IQTR1868553483</v>
      </c>
      <c r="C232">
        <f>Screening!F232</f>
        <v>91.35</v>
      </c>
      <c r="D232">
        <f>Screening!L232</f>
        <v>219.33</v>
      </c>
      <c r="E232" t="str">
        <f>Screening!N232</f>
        <v>-</v>
      </c>
      <c r="F232" t="e">
        <f t="shared" si="6"/>
        <v>#VALUE!</v>
      </c>
      <c r="G232" t="e">
        <f t="shared" si="7"/>
        <v>#VALUE!</v>
      </c>
    </row>
    <row r="233" spans="1:7" hidden="1" x14ac:dyDescent="0.15">
      <c r="A233" t="s">
        <v>2265</v>
      </c>
      <c r="B233" s="15" t="str">
        <f>Screening!I233</f>
        <v>IQTR1967299639</v>
      </c>
      <c r="C233">
        <f>Screening!F233</f>
        <v>64.92</v>
      </c>
      <c r="D233">
        <f>Screening!L233</f>
        <v>218.33</v>
      </c>
      <c r="E233">
        <f>Screening!N233</f>
        <v>28.1</v>
      </c>
      <c r="F233" s="16">
        <f>C233/E233</f>
        <v>2.3103202846975091</v>
      </c>
      <c r="G233" s="16">
        <f>100*(E233/D233)</f>
        <v>12.870425502679431</v>
      </c>
    </row>
    <row r="234" spans="1:7" hidden="1" x14ac:dyDescent="0.15">
      <c r="A234" t="s">
        <v>2266</v>
      </c>
      <c r="B234" s="15" t="str">
        <f>Screening!I234</f>
        <v>IQTR1898091901</v>
      </c>
      <c r="C234">
        <f>Screening!F234</f>
        <v>1807.28</v>
      </c>
      <c r="D234">
        <f>Screening!L234</f>
        <v>217.57</v>
      </c>
      <c r="E234" t="str">
        <f>Screening!N234</f>
        <v>-</v>
      </c>
      <c r="F234" t="e">
        <f t="shared" si="6"/>
        <v>#VALUE!</v>
      </c>
      <c r="G234" t="e">
        <f t="shared" si="7"/>
        <v>#VALUE!</v>
      </c>
    </row>
    <row r="235" spans="1:7" hidden="1" x14ac:dyDescent="0.15">
      <c r="A235" t="s">
        <v>2267</v>
      </c>
      <c r="B235" s="15" t="str">
        <f>Screening!I235</f>
        <v>IQTR1861945505</v>
      </c>
      <c r="C235" t="str">
        <f>Screening!F235</f>
        <v>-</v>
      </c>
      <c r="D235">
        <f>Screening!L235</f>
        <v>217.27</v>
      </c>
      <c r="E235" t="str">
        <f>Screening!N235</f>
        <v>-</v>
      </c>
      <c r="F235" t="e">
        <f t="shared" si="6"/>
        <v>#VALUE!</v>
      </c>
      <c r="G235" t="e">
        <f t="shared" si="7"/>
        <v>#VALUE!</v>
      </c>
    </row>
    <row r="236" spans="1:7" hidden="1" x14ac:dyDescent="0.15">
      <c r="A236" t="s">
        <v>2268</v>
      </c>
      <c r="B236" s="15" t="str">
        <f>Screening!I236</f>
        <v>IQTR1928837650</v>
      </c>
      <c r="C236">
        <f>Screening!F236</f>
        <v>160.58000000000001</v>
      </c>
      <c r="D236">
        <f>Screening!L236</f>
        <v>215.29</v>
      </c>
      <c r="E236">
        <f>Screening!N236</f>
        <v>5.65</v>
      </c>
      <c r="F236" s="16">
        <f t="shared" si="6"/>
        <v>28.421238938053097</v>
      </c>
      <c r="G236" s="16">
        <f>100*(E236/D236)</f>
        <v>2.624367132704724</v>
      </c>
    </row>
    <row r="237" spans="1:7" hidden="1" x14ac:dyDescent="0.15">
      <c r="A237" t="s">
        <v>2269</v>
      </c>
      <c r="B237" s="15" t="str">
        <f>Screening!I237</f>
        <v>IQTR1949429652</v>
      </c>
      <c r="C237">
        <f>Screening!F237</f>
        <v>1531.9</v>
      </c>
      <c r="D237">
        <f>Screening!L237</f>
        <v>214.66</v>
      </c>
      <c r="E237">
        <f>Screening!N237</f>
        <v>-78.599999999999994</v>
      </c>
      <c r="F237" s="16">
        <f t="shared" si="6"/>
        <v>-19.489821882951656</v>
      </c>
      <c r="G237" s="16">
        <f>100*(E237/D237)</f>
        <v>-36.616043976521006</v>
      </c>
    </row>
    <row r="238" spans="1:7" hidden="1" x14ac:dyDescent="0.15">
      <c r="A238" t="s">
        <v>2270</v>
      </c>
      <c r="B238" s="15" t="str">
        <f>Screening!I238</f>
        <v>IQTR1995165311</v>
      </c>
      <c r="C238">
        <f>Screening!F238</f>
        <v>2341.1</v>
      </c>
      <c r="D238">
        <f>Screening!L238</f>
        <v>214.59</v>
      </c>
      <c r="E238" t="str">
        <f>Screening!N238</f>
        <v>-</v>
      </c>
      <c r="F238" t="e">
        <f t="shared" si="6"/>
        <v>#VALUE!</v>
      </c>
      <c r="G238" t="e">
        <f t="shared" si="7"/>
        <v>#VALUE!</v>
      </c>
    </row>
    <row r="239" spans="1:7" hidden="1" x14ac:dyDescent="0.15">
      <c r="A239" t="s">
        <v>2271</v>
      </c>
      <c r="B239" s="15" t="str">
        <f>Screening!I239</f>
        <v>IQTR1856426784</v>
      </c>
      <c r="C239" t="str">
        <f>Screening!F239</f>
        <v>-</v>
      </c>
      <c r="D239">
        <f>Screening!L239</f>
        <v>213.33</v>
      </c>
      <c r="E239">
        <f>Screening!N239</f>
        <v>8.0299999999999994</v>
      </c>
      <c r="F239" t="e">
        <f t="shared" si="6"/>
        <v>#VALUE!</v>
      </c>
      <c r="G239">
        <f t="shared" si="7"/>
        <v>3.7641213143955368E-2</v>
      </c>
    </row>
    <row r="240" spans="1:7" hidden="1" x14ac:dyDescent="0.15">
      <c r="A240" t="s">
        <v>2272</v>
      </c>
      <c r="B240" s="15" t="str">
        <f>Screening!I240</f>
        <v>IQTR1936981870</v>
      </c>
      <c r="C240">
        <f>Screening!F240</f>
        <v>4448.33</v>
      </c>
      <c r="D240">
        <f>Screening!L240</f>
        <v>213.19</v>
      </c>
      <c r="E240">
        <f>Screening!N240</f>
        <v>96.7</v>
      </c>
      <c r="F240" s="16">
        <f t="shared" si="6"/>
        <v>46.001344364012411</v>
      </c>
      <c r="G240" s="16">
        <f>100*(E240/D240)</f>
        <v>45.358600309583004</v>
      </c>
    </row>
    <row r="241" spans="1:7" hidden="1" x14ac:dyDescent="0.15">
      <c r="A241" t="s">
        <v>2273</v>
      </c>
      <c r="B241" s="15" t="str">
        <f>Screening!I241</f>
        <v>IQTR1888599526</v>
      </c>
      <c r="C241">
        <f>Screening!F241</f>
        <v>24.79</v>
      </c>
      <c r="D241">
        <f>Screening!L241</f>
        <v>211.85</v>
      </c>
      <c r="E241">
        <f>Screening!N241</f>
        <v>5.92</v>
      </c>
      <c r="F241" s="16">
        <f t="shared" si="6"/>
        <v>4.1875</v>
      </c>
      <c r="G241" s="16">
        <f>100*(E241/D241)</f>
        <v>2.7944300212414444</v>
      </c>
    </row>
    <row r="242" spans="1:7" hidden="1" x14ac:dyDescent="0.15">
      <c r="A242" t="s">
        <v>2274</v>
      </c>
      <c r="B242" s="15" t="str">
        <f>Screening!I242</f>
        <v>IQTR1931546963</v>
      </c>
      <c r="C242">
        <f>Screening!F242</f>
        <v>23.71</v>
      </c>
      <c r="D242">
        <f>Screening!L242</f>
        <v>209.72</v>
      </c>
      <c r="E242">
        <f>Screening!N242</f>
        <v>27.1</v>
      </c>
      <c r="F242" s="16">
        <f t="shared" si="6"/>
        <v>0.8749077490774908</v>
      </c>
      <c r="G242" s="16">
        <f>100*(E242/D242)</f>
        <v>12.9219912263971</v>
      </c>
    </row>
    <row r="243" spans="1:7" hidden="1" x14ac:dyDescent="0.15">
      <c r="A243" t="s">
        <v>2275</v>
      </c>
      <c r="B243" s="15" t="str">
        <f>Screening!I243</f>
        <v>IQTR1955235798</v>
      </c>
      <c r="C243" t="str">
        <f>Screening!F243</f>
        <v>-</v>
      </c>
      <c r="D243">
        <f>Screening!L243</f>
        <v>208.74</v>
      </c>
      <c r="E243">
        <f>Screening!N243</f>
        <v>23.2</v>
      </c>
      <c r="F243" t="e">
        <f t="shared" si="6"/>
        <v>#VALUE!</v>
      </c>
      <c r="G243">
        <f t="shared" si="7"/>
        <v>0.11114304876880329</v>
      </c>
    </row>
    <row r="244" spans="1:7" hidden="1" x14ac:dyDescent="0.15">
      <c r="A244" t="s">
        <v>2276</v>
      </c>
      <c r="B244" s="15" t="str">
        <f>Screening!I244</f>
        <v>IQTR1839386429</v>
      </c>
      <c r="C244">
        <f>Screening!F244</f>
        <v>11.67</v>
      </c>
      <c r="D244">
        <f>Screening!L244</f>
        <v>206.19</v>
      </c>
      <c r="E244">
        <f>Screening!N244</f>
        <v>33.700000000000003</v>
      </c>
      <c r="F244" s="16">
        <f>C244/E244</f>
        <v>0.34629080118694361</v>
      </c>
      <c r="G244" s="16">
        <f>100*(E244/D244)</f>
        <v>16.344148600805084</v>
      </c>
    </row>
    <row r="245" spans="1:7" hidden="1" x14ac:dyDescent="0.15">
      <c r="A245" t="s">
        <v>2277</v>
      </c>
      <c r="B245" s="15" t="str">
        <f>Screening!I245</f>
        <v>IQTR1954220754</v>
      </c>
      <c r="C245">
        <f>Screening!F245</f>
        <v>548.21</v>
      </c>
      <c r="D245">
        <f>Screening!L245</f>
        <v>205.8</v>
      </c>
      <c r="E245" t="str">
        <f>Screening!N245</f>
        <v>-</v>
      </c>
      <c r="F245" t="e">
        <f t="shared" si="6"/>
        <v>#VALUE!</v>
      </c>
      <c r="G245" t="e">
        <f t="shared" si="7"/>
        <v>#VALUE!</v>
      </c>
    </row>
    <row r="246" spans="1:7" hidden="1" x14ac:dyDescent="0.15">
      <c r="A246" t="s">
        <v>2278</v>
      </c>
      <c r="B246" s="15" t="str">
        <f>Screening!I246</f>
        <v>IQTR1930271263</v>
      </c>
      <c r="C246" t="str">
        <f>Screening!F246</f>
        <v>-</v>
      </c>
      <c r="D246">
        <f>Screening!L246</f>
        <v>205.78</v>
      </c>
      <c r="E246">
        <f>Screening!N246</f>
        <v>2.0099999999999998</v>
      </c>
      <c r="F246" t="e">
        <f t="shared" si="6"/>
        <v>#VALUE!</v>
      </c>
      <c r="G246">
        <f t="shared" si="7"/>
        <v>9.7677130916512776E-3</v>
      </c>
    </row>
    <row r="247" spans="1:7" hidden="1" x14ac:dyDescent="0.15">
      <c r="A247" t="s">
        <v>2279</v>
      </c>
      <c r="B247" s="15" t="str">
        <f>Screening!I247</f>
        <v>IQTR1855773404</v>
      </c>
      <c r="C247">
        <f>Screening!F247</f>
        <v>218.65</v>
      </c>
      <c r="D247">
        <f>Screening!L247</f>
        <v>205.1</v>
      </c>
      <c r="E247" t="str">
        <f>Screening!N247</f>
        <v>-</v>
      </c>
      <c r="F247" t="e">
        <f t="shared" si="6"/>
        <v>#VALUE!</v>
      </c>
      <c r="G247" t="e">
        <f t="shared" si="7"/>
        <v>#VALUE!</v>
      </c>
    </row>
    <row r="248" spans="1:7" hidden="1" x14ac:dyDescent="0.15">
      <c r="A248" t="s">
        <v>2280</v>
      </c>
      <c r="B248" s="15" t="str">
        <f>Screening!I248</f>
        <v>IQTR1944496162</v>
      </c>
      <c r="C248">
        <f>Screening!F248</f>
        <v>35.75</v>
      </c>
      <c r="D248">
        <f>Screening!L248</f>
        <v>202.97</v>
      </c>
      <c r="E248">
        <f>Screening!N248</f>
        <v>-19.3</v>
      </c>
      <c r="F248" s="16">
        <f>C248/E248</f>
        <v>-1.8523316062176165</v>
      </c>
      <c r="G248" s="16">
        <f>100*(E248/D248)</f>
        <v>-9.508794403113761</v>
      </c>
    </row>
    <row r="249" spans="1:7" hidden="1" x14ac:dyDescent="0.15">
      <c r="A249" t="s">
        <v>2281</v>
      </c>
      <c r="B249" s="15" t="str">
        <f>Screening!I249</f>
        <v>IQTR1804260665</v>
      </c>
      <c r="C249">
        <f>Screening!F249</f>
        <v>2341.5300000000002</v>
      </c>
      <c r="D249">
        <f>Screening!L249</f>
        <v>201.89</v>
      </c>
      <c r="E249" t="str">
        <f>Screening!N249</f>
        <v>-</v>
      </c>
      <c r="F249" t="e">
        <f t="shared" si="6"/>
        <v>#VALUE!</v>
      </c>
      <c r="G249" t="e">
        <f t="shared" si="7"/>
        <v>#VALUE!</v>
      </c>
    </row>
    <row r="250" spans="1:7" hidden="1" x14ac:dyDescent="0.15">
      <c r="A250" t="s">
        <v>2282</v>
      </c>
      <c r="B250" s="15" t="str">
        <f>Screening!I250</f>
        <v>IQTR1916481132</v>
      </c>
      <c r="C250">
        <f>Screening!F250</f>
        <v>1598.98</v>
      </c>
      <c r="D250">
        <f>Screening!L250</f>
        <v>201.61</v>
      </c>
      <c r="E250">
        <f>Screening!N250</f>
        <v>13.6</v>
      </c>
      <c r="F250" s="16">
        <f>C250/E250</f>
        <v>117.57205882352942</v>
      </c>
      <c r="G250" s="16">
        <f>100*(E250/D250)</f>
        <v>6.7456971380387865</v>
      </c>
    </row>
    <row r="251" spans="1:7" hidden="1" x14ac:dyDescent="0.15">
      <c r="A251" t="s">
        <v>2283</v>
      </c>
      <c r="B251" s="15" t="str">
        <f>Screening!I251</f>
        <v>IQTR1881839097</v>
      </c>
      <c r="C251">
        <f>Screening!F251</f>
        <v>3000</v>
      </c>
      <c r="D251">
        <f>Screening!L251</f>
        <v>200</v>
      </c>
      <c r="E251" t="str">
        <f>Screening!N251</f>
        <v>-</v>
      </c>
      <c r="F251" t="e">
        <f t="shared" si="6"/>
        <v>#VALUE!</v>
      </c>
      <c r="G251" t="e">
        <f t="shared" si="7"/>
        <v>#VALUE!</v>
      </c>
    </row>
    <row r="252" spans="1:7" hidden="1" x14ac:dyDescent="0.15">
      <c r="A252" t="s">
        <v>2284</v>
      </c>
      <c r="B252" s="15" t="str">
        <f>Screening!I252</f>
        <v>IQTR1905113400</v>
      </c>
      <c r="C252">
        <f>Screening!F252</f>
        <v>257.47000000000003</v>
      </c>
      <c r="D252">
        <f>Screening!L252</f>
        <v>199.83</v>
      </c>
      <c r="E252" t="str">
        <f>Screening!N252</f>
        <v>-</v>
      </c>
      <c r="F252" t="e">
        <f t="shared" si="6"/>
        <v>#VALUE!</v>
      </c>
      <c r="G252" t="e">
        <f t="shared" si="7"/>
        <v>#VALUE!</v>
      </c>
    </row>
    <row r="253" spans="1:7" hidden="1" x14ac:dyDescent="0.15">
      <c r="A253" t="s">
        <v>2285</v>
      </c>
      <c r="B253" s="15" t="str">
        <f>Screening!I253</f>
        <v>IQTR1782192548</v>
      </c>
      <c r="C253">
        <f>Screening!F253</f>
        <v>201.65</v>
      </c>
      <c r="D253">
        <f>Screening!L253</f>
        <v>199.57</v>
      </c>
      <c r="E253" t="str">
        <f>Screening!N253</f>
        <v>-</v>
      </c>
      <c r="F253" t="e">
        <f t="shared" si="6"/>
        <v>#VALUE!</v>
      </c>
      <c r="G253" t="e">
        <f t="shared" si="7"/>
        <v>#VALUE!</v>
      </c>
    </row>
    <row r="254" spans="1:7" hidden="1" x14ac:dyDescent="0.15">
      <c r="A254" t="s">
        <v>2286</v>
      </c>
      <c r="B254" s="15" t="str">
        <f>Screening!I254</f>
        <v>IQTR1787795680</v>
      </c>
      <c r="C254">
        <f>Screening!F254</f>
        <v>213.63</v>
      </c>
      <c r="D254">
        <f>Screening!L254</f>
        <v>199.39</v>
      </c>
      <c r="E254" t="str">
        <f>Screening!N254</f>
        <v>-</v>
      </c>
      <c r="F254" t="e">
        <f t="shared" si="6"/>
        <v>#VALUE!</v>
      </c>
      <c r="G254" t="e">
        <f t="shared" si="7"/>
        <v>#VALUE!</v>
      </c>
    </row>
    <row r="255" spans="1:7" hidden="1" x14ac:dyDescent="0.15">
      <c r="A255" t="s">
        <v>2287</v>
      </c>
      <c r="B255" s="15" t="str">
        <f>Screening!I255</f>
        <v>IQTR1897775106</v>
      </c>
      <c r="C255">
        <f>Screening!F255</f>
        <v>8.5399999999999991</v>
      </c>
      <c r="D255">
        <f>Screening!L255</f>
        <v>196.13</v>
      </c>
      <c r="E255">
        <f>Screening!N255</f>
        <v>0.30099999999999999</v>
      </c>
      <c r="F255" s="16">
        <f>C255/E255</f>
        <v>28.372093023255811</v>
      </c>
      <c r="G255" s="16">
        <f>100*(E255/D255)</f>
        <v>0.15346963748534137</v>
      </c>
    </row>
    <row r="256" spans="1:7" hidden="1" x14ac:dyDescent="0.15">
      <c r="A256" t="s">
        <v>2288</v>
      </c>
      <c r="B256" s="15" t="str">
        <f>Screening!I256</f>
        <v>IQTR1872268502</v>
      </c>
      <c r="C256" t="str">
        <f>Screening!F256</f>
        <v>-</v>
      </c>
      <c r="D256">
        <f>Screening!L256</f>
        <v>194.74</v>
      </c>
      <c r="E256" t="str">
        <f>Screening!N256</f>
        <v>-</v>
      </c>
      <c r="F256" t="e">
        <f t="shared" si="6"/>
        <v>#VALUE!</v>
      </c>
      <c r="G256" t="e">
        <f t="shared" si="7"/>
        <v>#VALUE!</v>
      </c>
    </row>
    <row r="257" spans="1:7" hidden="1" x14ac:dyDescent="0.15">
      <c r="A257" t="s">
        <v>2289</v>
      </c>
      <c r="B257" s="15" t="str">
        <f>Screening!I257</f>
        <v>IQTR1780580436</v>
      </c>
      <c r="C257">
        <f>Screening!F257</f>
        <v>540</v>
      </c>
      <c r="D257">
        <f>Screening!L257</f>
        <v>193.8</v>
      </c>
      <c r="E257" t="str">
        <f>Screening!N257</f>
        <v>-</v>
      </c>
      <c r="F257" t="e">
        <f t="shared" si="6"/>
        <v>#VALUE!</v>
      </c>
      <c r="G257" t="e">
        <f t="shared" si="7"/>
        <v>#VALUE!</v>
      </c>
    </row>
    <row r="258" spans="1:7" x14ac:dyDescent="0.15">
      <c r="A258" t="s">
        <v>2290</v>
      </c>
      <c r="B258" s="15" t="str">
        <f>Screening!I258</f>
        <v>IQTR1815364960</v>
      </c>
      <c r="C258">
        <f>Screening!F258</f>
        <v>184.55</v>
      </c>
      <c r="D258">
        <f>Screening!L258</f>
        <v>192.01</v>
      </c>
      <c r="E258">
        <f>Screening!N258</f>
        <v>40.5</v>
      </c>
      <c r="F258" s="16">
        <f t="shared" si="6"/>
        <v>4.55679012345679</v>
      </c>
      <c r="G258" s="16">
        <f>100*(E258/D258)</f>
        <v>21.092651424404981</v>
      </c>
    </row>
    <row r="259" spans="1:7" hidden="1" x14ac:dyDescent="0.15">
      <c r="A259" t="s">
        <v>2291</v>
      </c>
      <c r="B259" s="15" t="str">
        <f>Screening!I259</f>
        <v>IQTR1815554398</v>
      </c>
      <c r="C259">
        <f>Screening!F259</f>
        <v>0.90100000000000002</v>
      </c>
      <c r="D259">
        <f>Screening!L259</f>
        <v>192.01</v>
      </c>
      <c r="E259">
        <f>Screening!N259</f>
        <v>40.5</v>
      </c>
      <c r="F259" s="16">
        <f>C259/E259</f>
        <v>2.2246913580246913E-2</v>
      </c>
      <c r="G259" s="16">
        <f>100*(E259/D259)</f>
        <v>21.092651424404981</v>
      </c>
    </row>
    <row r="260" spans="1:7" hidden="1" x14ac:dyDescent="0.15">
      <c r="A260" t="s">
        <v>2292</v>
      </c>
      <c r="B260" s="15" t="str">
        <f>Screening!I260</f>
        <v>IQTR1935854473</v>
      </c>
      <c r="C260">
        <f>Screening!F260</f>
        <v>21.9</v>
      </c>
      <c r="D260">
        <f>Screening!L260</f>
        <v>191.69</v>
      </c>
      <c r="E260">
        <f>Screening!N260</f>
        <v>4.6100000000000003</v>
      </c>
      <c r="F260" s="16">
        <f>C260/E260</f>
        <v>4.7505422993492399</v>
      </c>
      <c r="G260" s="16">
        <f>100*(E260/D260)</f>
        <v>2.4049246178726067</v>
      </c>
    </row>
    <row r="261" spans="1:7" hidden="1" x14ac:dyDescent="0.15">
      <c r="A261" t="s">
        <v>2293</v>
      </c>
      <c r="B261" s="15" t="str">
        <f>Screening!I261</f>
        <v>IQTR1911544526</v>
      </c>
      <c r="C261">
        <f>Screening!F261</f>
        <v>51.17</v>
      </c>
      <c r="D261">
        <f>Screening!L261</f>
        <v>191.32</v>
      </c>
      <c r="E261">
        <f>Screening!N261</f>
        <v>-73.2</v>
      </c>
      <c r="F261" s="16">
        <f>C261/E261</f>
        <v>-0.69904371584699454</v>
      </c>
      <c r="G261" s="16">
        <f>100*(E261/D261)</f>
        <v>-38.260505958603389</v>
      </c>
    </row>
    <row r="262" spans="1:7" hidden="1" x14ac:dyDescent="0.15">
      <c r="A262" t="s">
        <v>2294</v>
      </c>
      <c r="B262" s="15" t="str">
        <f>Screening!I262</f>
        <v>IQTR1792541946</v>
      </c>
      <c r="C262" t="str">
        <f>Screening!F262</f>
        <v>-</v>
      </c>
      <c r="D262">
        <f>Screening!L262</f>
        <v>189.76</v>
      </c>
      <c r="E262">
        <f>Screening!N262</f>
        <v>-33.9</v>
      </c>
      <c r="F262" t="e">
        <f t="shared" ref="F262:F322" si="8">C262/E262</f>
        <v>#VALUE!</v>
      </c>
      <c r="G262">
        <f t="shared" ref="G262:G322" si="9">E262/D262</f>
        <v>-0.17864671163575041</v>
      </c>
    </row>
    <row r="263" spans="1:7" hidden="1" x14ac:dyDescent="0.15">
      <c r="A263" t="s">
        <v>2295</v>
      </c>
      <c r="B263" s="15" t="str">
        <f>Screening!I263</f>
        <v>IQTR1788585321</v>
      </c>
      <c r="C263">
        <f>Screening!F263</f>
        <v>52.55</v>
      </c>
      <c r="D263">
        <f>Screening!L263</f>
        <v>188.26</v>
      </c>
      <c r="E263">
        <f>Screening!N263</f>
        <v>232.6</v>
      </c>
      <c r="F263" s="16">
        <f t="shared" si="8"/>
        <v>0.2259243336199484</v>
      </c>
      <c r="G263" s="16">
        <f>100*(E263/D263)</f>
        <v>123.55253372994794</v>
      </c>
    </row>
    <row r="264" spans="1:7" hidden="1" x14ac:dyDescent="0.15">
      <c r="A264" t="s">
        <v>2296</v>
      </c>
      <c r="B264" s="15" t="str">
        <f>Screening!I264</f>
        <v>IQTR1788588635</v>
      </c>
      <c r="C264">
        <f>Screening!F264</f>
        <v>52.55</v>
      </c>
      <c r="D264">
        <f>Screening!L264</f>
        <v>188.26</v>
      </c>
      <c r="E264">
        <f>Screening!N264</f>
        <v>232.6</v>
      </c>
      <c r="F264" s="16">
        <f t="shared" si="8"/>
        <v>0.2259243336199484</v>
      </c>
      <c r="G264" s="16">
        <f>100*(E264/D264)</f>
        <v>123.55253372994794</v>
      </c>
    </row>
    <row r="265" spans="1:7" hidden="1" x14ac:dyDescent="0.15">
      <c r="A265" t="s">
        <v>2297</v>
      </c>
      <c r="B265" s="15" t="str">
        <f>Screening!I265</f>
        <v>IQTR1684571974</v>
      </c>
      <c r="C265">
        <f>Screening!F265</f>
        <v>1050</v>
      </c>
      <c r="D265">
        <f>Screening!L265</f>
        <v>188</v>
      </c>
      <c r="E265" t="str">
        <f>Screening!N265</f>
        <v>-</v>
      </c>
      <c r="F265" t="e">
        <f t="shared" si="8"/>
        <v>#VALUE!</v>
      </c>
      <c r="G265" t="e">
        <f t="shared" si="9"/>
        <v>#VALUE!</v>
      </c>
    </row>
    <row r="266" spans="1:7" hidden="1" x14ac:dyDescent="0.15">
      <c r="A266" t="s">
        <v>2298</v>
      </c>
      <c r="B266" s="15" t="str">
        <f>Screening!I266</f>
        <v>IQTR1849433741</v>
      </c>
      <c r="C266">
        <f>Screening!F266</f>
        <v>46.91</v>
      </c>
      <c r="D266">
        <f>Screening!L266</f>
        <v>187.33</v>
      </c>
      <c r="E266">
        <f>Screening!N266</f>
        <v>27.1</v>
      </c>
      <c r="F266" s="16">
        <f>C266/E266</f>
        <v>1.7309963099630994</v>
      </c>
      <c r="G266" s="16">
        <f>100*(E266/D266)</f>
        <v>14.466449580953396</v>
      </c>
    </row>
    <row r="267" spans="1:7" hidden="1" x14ac:dyDescent="0.15">
      <c r="A267" t="s">
        <v>2299</v>
      </c>
      <c r="B267" s="15" t="str">
        <f>Screening!I267</f>
        <v>IQTR1762165310</v>
      </c>
      <c r="C267" t="str">
        <f>Screening!F267</f>
        <v>-</v>
      </c>
      <c r="D267">
        <f>Screening!L267</f>
        <v>186.57</v>
      </c>
      <c r="E267" t="str">
        <f>Screening!N267</f>
        <v>-</v>
      </c>
      <c r="F267" t="e">
        <f t="shared" si="8"/>
        <v>#VALUE!</v>
      </c>
      <c r="G267" t="e">
        <f t="shared" si="9"/>
        <v>#VALUE!</v>
      </c>
    </row>
    <row r="268" spans="1:7" hidden="1" x14ac:dyDescent="0.15">
      <c r="A268" t="s">
        <v>2300</v>
      </c>
      <c r="B268" s="15" t="str">
        <f>Screening!I268</f>
        <v>IQTR1819901985</v>
      </c>
      <c r="C268">
        <f>Screening!F268</f>
        <v>7.61</v>
      </c>
      <c r="D268">
        <f>Screening!L268</f>
        <v>185.82</v>
      </c>
      <c r="E268">
        <f>Screening!N268</f>
        <v>116.2</v>
      </c>
      <c r="F268" s="16">
        <f>C268/E268</f>
        <v>6.5490533562822723E-2</v>
      </c>
      <c r="G268" s="16">
        <f>100*(E268/D268)</f>
        <v>62.533634700247553</v>
      </c>
    </row>
    <row r="269" spans="1:7" hidden="1" x14ac:dyDescent="0.15">
      <c r="A269" t="s">
        <v>2301</v>
      </c>
      <c r="B269" s="15" t="str">
        <f>Screening!I269</f>
        <v>IQTR1806254302</v>
      </c>
      <c r="C269">
        <f>Screening!F269</f>
        <v>1280.97</v>
      </c>
      <c r="D269">
        <f>Screening!L269</f>
        <v>185.31</v>
      </c>
      <c r="E269" t="str">
        <f>Screening!N269</f>
        <v>-</v>
      </c>
      <c r="F269" t="e">
        <f t="shared" si="8"/>
        <v>#VALUE!</v>
      </c>
      <c r="G269" t="e">
        <f t="shared" si="9"/>
        <v>#VALUE!</v>
      </c>
    </row>
    <row r="270" spans="1:7" hidden="1" x14ac:dyDescent="0.15">
      <c r="A270" t="s">
        <v>2302</v>
      </c>
      <c r="B270" s="15" t="str">
        <f>Screening!I270</f>
        <v>IQTR1762416998</v>
      </c>
      <c r="C270" t="str">
        <f>Screening!F270</f>
        <v>-</v>
      </c>
      <c r="D270">
        <f>Screening!L270</f>
        <v>185.28</v>
      </c>
      <c r="E270">
        <f>Screening!N270</f>
        <v>83.5</v>
      </c>
      <c r="F270" t="e">
        <f t="shared" si="8"/>
        <v>#VALUE!</v>
      </c>
      <c r="G270">
        <f t="shared" si="9"/>
        <v>0.45066925734024177</v>
      </c>
    </row>
    <row r="271" spans="1:7" hidden="1" x14ac:dyDescent="0.15">
      <c r="A271" t="s">
        <v>2303</v>
      </c>
      <c r="B271" s="15" t="str">
        <f>Screening!I271</f>
        <v>IQTR1827020093</v>
      </c>
      <c r="C271">
        <f>Screening!F271</f>
        <v>96.56</v>
      </c>
      <c r="D271">
        <f>Screening!L271</f>
        <v>184.56</v>
      </c>
      <c r="E271" t="str">
        <f>Screening!N271</f>
        <v>-</v>
      </c>
      <c r="F271" t="e">
        <f t="shared" si="8"/>
        <v>#VALUE!</v>
      </c>
      <c r="G271" t="e">
        <f t="shared" si="9"/>
        <v>#VALUE!</v>
      </c>
    </row>
    <row r="272" spans="1:7" hidden="1" x14ac:dyDescent="0.15">
      <c r="A272" t="s">
        <v>2304</v>
      </c>
      <c r="B272" s="15" t="str">
        <f>Screening!I272</f>
        <v>IQTR1961115128</v>
      </c>
      <c r="C272">
        <f>Screening!F272</f>
        <v>62.37</v>
      </c>
      <c r="D272">
        <f>Screening!L272</f>
        <v>183.2</v>
      </c>
      <c r="E272">
        <f>Screening!N272</f>
        <v>19.7</v>
      </c>
      <c r="F272" s="16">
        <f t="shared" si="8"/>
        <v>3.165989847715736</v>
      </c>
      <c r="G272" s="16">
        <f>100*(E272/D272)</f>
        <v>10.753275109170305</v>
      </c>
    </row>
    <row r="273" spans="1:7" hidden="1" x14ac:dyDescent="0.15">
      <c r="A273" t="s">
        <v>2305</v>
      </c>
      <c r="B273" s="15" t="str">
        <f>Screening!I273</f>
        <v>IQTR1830580288</v>
      </c>
      <c r="C273">
        <f>Screening!F273</f>
        <v>40.200000000000003</v>
      </c>
      <c r="D273">
        <f>Screening!L273</f>
        <v>178.77</v>
      </c>
      <c r="E273">
        <f>Screening!N273</f>
        <v>-19</v>
      </c>
      <c r="F273" s="16">
        <f t="shared" si="8"/>
        <v>-2.1157894736842109</v>
      </c>
      <c r="G273" s="16">
        <f>100*(E273/D273)</f>
        <v>-10.628181462214018</v>
      </c>
    </row>
    <row r="274" spans="1:7" hidden="1" x14ac:dyDescent="0.15">
      <c r="A274" t="s">
        <v>2306</v>
      </c>
      <c r="B274" s="15" t="str">
        <f>Screening!I274</f>
        <v>IQTR1877648199</v>
      </c>
      <c r="C274" t="str">
        <f>Screening!F274</f>
        <v>-</v>
      </c>
      <c r="D274">
        <f>Screening!L274</f>
        <v>177.37</v>
      </c>
      <c r="E274">
        <f>Screening!N274</f>
        <v>28.4</v>
      </c>
      <c r="F274" t="e">
        <f t="shared" si="8"/>
        <v>#VALUE!</v>
      </c>
      <c r="G274">
        <f t="shared" si="9"/>
        <v>0.16011726898573603</v>
      </c>
    </row>
    <row r="275" spans="1:7" hidden="1" x14ac:dyDescent="0.15">
      <c r="A275" t="s">
        <v>2307</v>
      </c>
      <c r="B275" s="15" t="str">
        <f>Screening!I275</f>
        <v>IQTR1871008546</v>
      </c>
      <c r="C275">
        <f>Screening!F275</f>
        <v>96.4</v>
      </c>
      <c r="D275">
        <f>Screening!L275</f>
        <v>177.19</v>
      </c>
      <c r="E275">
        <f>Screening!N275</f>
        <v>-1.04</v>
      </c>
      <c r="F275" s="16">
        <f>C275/E275</f>
        <v>-92.692307692307693</v>
      </c>
      <c r="G275" s="16">
        <f>100*(E275/D275)</f>
        <v>-0.58694057226705798</v>
      </c>
    </row>
    <row r="276" spans="1:7" hidden="1" x14ac:dyDescent="0.15">
      <c r="A276" t="s">
        <v>2308</v>
      </c>
      <c r="B276" s="15" t="str">
        <f>Screening!I276</f>
        <v>IQTR1974977434</v>
      </c>
      <c r="C276">
        <f>Screening!F276</f>
        <v>240.72</v>
      </c>
      <c r="D276">
        <f>Screening!L276</f>
        <v>176.14</v>
      </c>
      <c r="E276" t="str">
        <f>Screening!N276</f>
        <v>-</v>
      </c>
      <c r="F276" t="e">
        <f t="shared" si="8"/>
        <v>#VALUE!</v>
      </c>
      <c r="G276" t="e">
        <f t="shared" si="9"/>
        <v>#VALUE!</v>
      </c>
    </row>
    <row r="277" spans="1:7" hidden="1" x14ac:dyDescent="0.15">
      <c r="A277" t="s">
        <v>2309</v>
      </c>
      <c r="B277" s="15" t="str">
        <f>Screening!I277</f>
        <v>IQTR1680133644</v>
      </c>
      <c r="C277" t="str">
        <f>Screening!F277</f>
        <v>-</v>
      </c>
      <c r="D277">
        <f>Screening!L277</f>
        <v>174.23</v>
      </c>
      <c r="E277">
        <f>Screening!N277</f>
        <v>10.4</v>
      </c>
      <c r="F277" t="e">
        <f t="shared" si="8"/>
        <v>#VALUE!</v>
      </c>
      <c r="G277">
        <f t="shared" si="9"/>
        <v>5.9691212764736275E-2</v>
      </c>
    </row>
    <row r="278" spans="1:7" hidden="1" x14ac:dyDescent="0.15">
      <c r="A278" t="s">
        <v>2310</v>
      </c>
      <c r="B278" s="15" t="str">
        <f>Screening!I278</f>
        <v>IQTR1876134947</v>
      </c>
      <c r="C278" t="str">
        <f>Screening!F278</f>
        <v>-</v>
      </c>
      <c r="D278">
        <f>Screening!L278</f>
        <v>173.55</v>
      </c>
      <c r="E278" t="str">
        <f>Screening!N278</f>
        <v>-</v>
      </c>
      <c r="F278" t="e">
        <f t="shared" si="8"/>
        <v>#VALUE!</v>
      </c>
      <c r="G278" t="e">
        <f t="shared" si="9"/>
        <v>#VALUE!</v>
      </c>
    </row>
    <row r="279" spans="1:7" hidden="1" x14ac:dyDescent="0.15">
      <c r="A279" t="s">
        <v>2311</v>
      </c>
      <c r="B279" s="15" t="str">
        <f>Screening!I279</f>
        <v>IQTR1962753638</v>
      </c>
      <c r="C279">
        <f>Screening!F279</f>
        <v>250</v>
      </c>
      <c r="D279">
        <f>Screening!L279</f>
        <v>172.2</v>
      </c>
      <c r="E279" t="str">
        <f>Screening!N279</f>
        <v>-</v>
      </c>
      <c r="F279" t="e">
        <f t="shared" si="8"/>
        <v>#VALUE!</v>
      </c>
      <c r="G279" t="e">
        <f t="shared" si="9"/>
        <v>#VALUE!</v>
      </c>
    </row>
    <row r="280" spans="1:7" hidden="1" x14ac:dyDescent="0.15">
      <c r="A280" t="s">
        <v>2312</v>
      </c>
      <c r="B280" s="15" t="str">
        <f>Screening!I280</f>
        <v>IQTR1763472713</v>
      </c>
      <c r="C280">
        <f>Screening!F280</f>
        <v>75.2</v>
      </c>
      <c r="D280">
        <f>Screening!L280</f>
        <v>172.2</v>
      </c>
      <c r="E280" t="str">
        <f>Screening!N280</f>
        <v>-</v>
      </c>
      <c r="F280" t="e">
        <f t="shared" si="8"/>
        <v>#VALUE!</v>
      </c>
      <c r="G280" t="e">
        <f t="shared" si="9"/>
        <v>#VALUE!</v>
      </c>
    </row>
    <row r="281" spans="1:7" hidden="1" x14ac:dyDescent="0.15">
      <c r="A281" t="s">
        <v>2313</v>
      </c>
      <c r="B281" s="15" t="str">
        <f>Screening!I281</f>
        <v>IQTR1799719873</v>
      </c>
      <c r="C281">
        <f>Screening!F281</f>
        <v>732.72</v>
      </c>
      <c r="D281">
        <f>Screening!L281</f>
        <v>172.12</v>
      </c>
      <c r="E281" t="str">
        <f>Screening!N281</f>
        <v>-</v>
      </c>
      <c r="F281" t="e">
        <f t="shared" si="8"/>
        <v>#VALUE!</v>
      </c>
      <c r="G281" t="e">
        <f t="shared" si="9"/>
        <v>#VALUE!</v>
      </c>
    </row>
    <row r="282" spans="1:7" hidden="1" x14ac:dyDescent="0.15">
      <c r="A282" t="s">
        <v>2314</v>
      </c>
      <c r="B282" s="15" t="str">
        <f>Screening!I282</f>
        <v>IQTR1778303466</v>
      </c>
      <c r="C282">
        <f>Screening!F282</f>
        <v>605.54999999999995</v>
      </c>
      <c r="D282">
        <f>Screening!L282</f>
        <v>171.4</v>
      </c>
      <c r="E282" t="str">
        <f>Screening!N282</f>
        <v>-</v>
      </c>
      <c r="F282" t="e">
        <f t="shared" si="8"/>
        <v>#VALUE!</v>
      </c>
      <c r="G282" t="e">
        <f t="shared" si="9"/>
        <v>#VALUE!</v>
      </c>
    </row>
    <row r="283" spans="1:7" hidden="1" x14ac:dyDescent="0.15">
      <c r="A283" t="s">
        <v>2315</v>
      </c>
      <c r="B283" s="15" t="str">
        <f>Screening!I283</f>
        <v>IQTR1997615200</v>
      </c>
      <c r="C283">
        <f>Screening!F283</f>
        <v>203.11</v>
      </c>
      <c r="D283">
        <f>Screening!L283</f>
        <v>171.25</v>
      </c>
      <c r="E283">
        <f>Screening!N283</f>
        <v>15.7</v>
      </c>
      <c r="F283" s="16">
        <f t="shared" si="8"/>
        <v>12.936942675159237</v>
      </c>
      <c r="G283" s="16">
        <f>100*(E283/D283)</f>
        <v>9.1678832116788325</v>
      </c>
    </row>
    <row r="284" spans="1:7" x14ac:dyDescent="0.15">
      <c r="A284" t="s">
        <v>2316</v>
      </c>
      <c r="B284" s="15" t="str">
        <f>Screening!I284</f>
        <v>IQTR1973020838</v>
      </c>
      <c r="C284">
        <f>Screening!F284</f>
        <v>297.14</v>
      </c>
      <c r="D284">
        <f>Screening!L284</f>
        <v>170.91</v>
      </c>
      <c r="E284">
        <f>Screening!N284</f>
        <v>32.6</v>
      </c>
      <c r="F284" s="16">
        <f t="shared" si="8"/>
        <v>9.1147239263803677</v>
      </c>
      <c r="G284" s="16">
        <f>100*(E284/D284)</f>
        <v>19.074366625709438</v>
      </c>
    </row>
    <row r="285" spans="1:7" hidden="1" x14ac:dyDescent="0.15">
      <c r="A285" t="s">
        <v>2317</v>
      </c>
      <c r="B285" s="15" t="str">
        <f>Screening!I285</f>
        <v>IQTR1906569093</v>
      </c>
      <c r="C285" t="str">
        <f>Screening!F285</f>
        <v>-</v>
      </c>
      <c r="D285">
        <f>Screening!L285</f>
        <v>170.17</v>
      </c>
      <c r="E285">
        <f>Screening!N285</f>
        <v>19.7</v>
      </c>
      <c r="F285" t="e">
        <f t="shared" si="8"/>
        <v>#VALUE!</v>
      </c>
      <c r="G285">
        <f t="shared" si="9"/>
        <v>0.11576658635482165</v>
      </c>
    </row>
    <row r="286" spans="1:7" hidden="1" x14ac:dyDescent="0.15">
      <c r="A286" t="s">
        <v>2318</v>
      </c>
      <c r="B286" s="15" t="str">
        <f>Screening!I286</f>
        <v>IQTR2002846734</v>
      </c>
      <c r="C286">
        <f>Screening!F286</f>
        <v>800</v>
      </c>
      <c r="D286">
        <f>Screening!L286</f>
        <v>170</v>
      </c>
      <c r="E286" t="str">
        <f>Screening!N286</f>
        <v>-</v>
      </c>
      <c r="F286" t="e">
        <f t="shared" si="8"/>
        <v>#VALUE!</v>
      </c>
      <c r="G286" t="e">
        <f t="shared" si="9"/>
        <v>#VALUE!</v>
      </c>
    </row>
    <row r="287" spans="1:7" hidden="1" x14ac:dyDescent="0.15">
      <c r="A287" t="s">
        <v>2319</v>
      </c>
      <c r="B287" s="15" t="str">
        <f>Screening!I287</f>
        <v>IQTR1902259295</v>
      </c>
      <c r="C287" t="str">
        <f>Screening!F287</f>
        <v>-</v>
      </c>
      <c r="D287">
        <f>Screening!L287</f>
        <v>168.08</v>
      </c>
      <c r="E287" t="str">
        <f>Screening!N287</f>
        <v>-</v>
      </c>
      <c r="F287" t="e">
        <f t="shared" si="8"/>
        <v>#VALUE!</v>
      </c>
      <c r="G287" t="e">
        <f t="shared" si="9"/>
        <v>#VALUE!</v>
      </c>
    </row>
    <row r="288" spans="1:7" hidden="1" x14ac:dyDescent="0.15">
      <c r="A288" t="s">
        <v>2320</v>
      </c>
      <c r="B288" s="15" t="str">
        <f>Screening!I288</f>
        <v>IQTR1818555819</v>
      </c>
      <c r="C288">
        <f>Screening!F288</f>
        <v>504.6</v>
      </c>
      <c r="D288">
        <f>Screening!L288</f>
        <v>167</v>
      </c>
      <c r="E288" t="str">
        <f>Screening!N288</f>
        <v>-</v>
      </c>
      <c r="F288" t="e">
        <f t="shared" si="8"/>
        <v>#VALUE!</v>
      </c>
      <c r="G288" t="e">
        <f t="shared" si="9"/>
        <v>#VALUE!</v>
      </c>
    </row>
    <row r="289" spans="1:7" hidden="1" x14ac:dyDescent="0.15">
      <c r="A289" t="s">
        <v>2321</v>
      </c>
      <c r="B289" s="15" t="str">
        <f>Screening!I289</f>
        <v>IQTR1892415814</v>
      </c>
      <c r="C289">
        <f>Screening!F289</f>
        <v>239.79</v>
      </c>
      <c r="D289">
        <f>Screening!L289</f>
        <v>166.08</v>
      </c>
      <c r="E289" t="str">
        <f>Screening!N289</f>
        <v>-</v>
      </c>
      <c r="F289" t="e">
        <f t="shared" si="8"/>
        <v>#VALUE!</v>
      </c>
      <c r="G289" t="e">
        <f t="shared" si="9"/>
        <v>#VALUE!</v>
      </c>
    </row>
    <row r="290" spans="1:7" hidden="1" x14ac:dyDescent="0.15">
      <c r="A290" t="s">
        <v>2322</v>
      </c>
      <c r="B290" s="15" t="str">
        <f>Screening!I290</f>
        <v>IQTR1828358280</v>
      </c>
      <c r="C290">
        <f>Screening!F290</f>
        <v>344.85</v>
      </c>
      <c r="D290">
        <f>Screening!L290</f>
        <v>163.43</v>
      </c>
      <c r="E290" t="str">
        <f>Screening!N290</f>
        <v>-</v>
      </c>
      <c r="F290" t="e">
        <f t="shared" si="8"/>
        <v>#VALUE!</v>
      </c>
      <c r="G290" t="e">
        <f t="shared" si="9"/>
        <v>#VALUE!</v>
      </c>
    </row>
    <row r="291" spans="1:7" hidden="1" x14ac:dyDescent="0.15">
      <c r="A291" t="s">
        <v>2323</v>
      </c>
      <c r="B291" s="15" t="str">
        <f>Screening!I291</f>
        <v>IQTR2000503654</v>
      </c>
      <c r="C291">
        <f>Screening!F291</f>
        <v>56.01</v>
      </c>
      <c r="D291">
        <f>Screening!L291</f>
        <v>161.85</v>
      </c>
      <c r="E291">
        <f>Screening!N291</f>
        <v>25.6</v>
      </c>
      <c r="F291" s="16">
        <f t="shared" si="8"/>
        <v>2.1878906249999996</v>
      </c>
      <c r="G291" s="16">
        <f>100*(E291/D291)</f>
        <v>15.817114612295335</v>
      </c>
    </row>
    <row r="292" spans="1:7" hidden="1" x14ac:dyDescent="0.15">
      <c r="A292" t="s">
        <v>2324</v>
      </c>
      <c r="B292" s="15" t="str">
        <f>Screening!I292</f>
        <v>IQTR1891278275</v>
      </c>
      <c r="C292">
        <f>Screening!F292</f>
        <v>37.54</v>
      </c>
      <c r="D292">
        <f>Screening!L292</f>
        <v>160.63999999999999</v>
      </c>
      <c r="E292">
        <f>Screening!N292</f>
        <v>10.7</v>
      </c>
      <c r="F292" s="16">
        <f t="shared" si="8"/>
        <v>3.5084112149532714</v>
      </c>
      <c r="G292" s="16">
        <f>100*(E292/D292)</f>
        <v>6.6608565737051793</v>
      </c>
    </row>
    <row r="293" spans="1:7" hidden="1" x14ac:dyDescent="0.15">
      <c r="A293" t="s">
        <v>2325</v>
      </c>
      <c r="B293" s="15" t="str">
        <f>Screening!I293</f>
        <v>IQTR1687152009</v>
      </c>
      <c r="C293">
        <f>Screening!F293</f>
        <v>5.88</v>
      </c>
      <c r="D293">
        <f>Screening!L293</f>
        <v>160.63</v>
      </c>
      <c r="E293">
        <f>Screening!N293</f>
        <v>27.3</v>
      </c>
      <c r="F293" s="16">
        <f t="shared" si="8"/>
        <v>0.21538461538461537</v>
      </c>
      <c r="G293" s="16">
        <f>100*(E293/D293)</f>
        <v>16.995579904127499</v>
      </c>
    </row>
    <row r="294" spans="1:7" hidden="1" x14ac:dyDescent="0.15">
      <c r="A294" t="s">
        <v>2326</v>
      </c>
      <c r="B294" s="15" t="str">
        <f>Screening!I294</f>
        <v>IQTR1878845341</v>
      </c>
      <c r="C294">
        <f>Screening!F294</f>
        <v>2034.35</v>
      </c>
      <c r="D294">
        <f>Screening!L294</f>
        <v>159.63</v>
      </c>
      <c r="E294">
        <f>Screening!N294</f>
        <v>-160.5</v>
      </c>
      <c r="F294" s="16">
        <f t="shared" si="8"/>
        <v>-12.675077881619938</v>
      </c>
      <c r="G294" s="16">
        <f>100*(E294/D294)</f>
        <v>-100.54501033640292</v>
      </c>
    </row>
    <row r="295" spans="1:7" hidden="1" x14ac:dyDescent="0.15">
      <c r="A295" t="s">
        <v>2327</v>
      </c>
      <c r="B295" s="15" t="str">
        <f>Screening!I295</f>
        <v>IQTR1884945828</v>
      </c>
      <c r="C295">
        <f>Screening!F295</f>
        <v>117.61</v>
      </c>
      <c r="D295">
        <f>Screening!L295</f>
        <v>155.12</v>
      </c>
      <c r="E295" t="str">
        <f>Screening!N295</f>
        <v>-</v>
      </c>
      <c r="F295" t="e">
        <f t="shared" si="8"/>
        <v>#VALUE!</v>
      </c>
      <c r="G295" t="e">
        <f t="shared" si="9"/>
        <v>#VALUE!</v>
      </c>
    </row>
    <row r="296" spans="1:7" hidden="1" x14ac:dyDescent="0.15">
      <c r="A296" t="s">
        <v>2328</v>
      </c>
      <c r="B296" s="15" t="str">
        <f>Screening!I296</f>
        <v>IQTR1987290630</v>
      </c>
      <c r="C296">
        <f>Screening!F296</f>
        <v>22.95</v>
      </c>
      <c r="D296">
        <f>Screening!L296</f>
        <v>154.79</v>
      </c>
      <c r="E296">
        <f>Screening!N296</f>
        <v>11.9</v>
      </c>
      <c r="F296" s="16">
        <f>C296/E296</f>
        <v>1.9285714285714284</v>
      </c>
      <c r="G296" s="16">
        <f>100*(E296/D296)</f>
        <v>7.6878351314684412</v>
      </c>
    </row>
    <row r="297" spans="1:7" hidden="1" x14ac:dyDescent="0.15">
      <c r="A297" t="s">
        <v>2329</v>
      </c>
      <c r="B297" s="15" t="str">
        <f>Screening!I297</f>
        <v>IQTR1775214259</v>
      </c>
      <c r="C297" t="str">
        <f>Screening!F297</f>
        <v>-</v>
      </c>
      <c r="D297">
        <f>Screening!L297</f>
        <v>154.63</v>
      </c>
      <c r="E297">
        <f>Screening!N297</f>
        <v>-3.94</v>
      </c>
      <c r="F297" t="e">
        <f t="shared" si="8"/>
        <v>#VALUE!</v>
      </c>
      <c r="G297">
        <f t="shared" si="9"/>
        <v>-2.5480178490590442E-2</v>
      </c>
    </row>
    <row r="298" spans="1:7" hidden="1" x14ac:dyDescent="0.15">
      <c r="A298" t="s">
        <v>2330</v>
      </c>
      <c r="B298" s="15" t="str">
        <f>Screening!I298</f>
        <v>IQTR1757568010</v>
      </c>
      <c r="C298">
        <f>Screening!F298</f>
        <v>463</v>
      </c>
      <c r="D298">
        <f>Screening!L298</f>
        <v>153.27000000000001</v>
      </c>
      <c r="E298" t="str">
        <f>Screening!N298</f>
        <v>-</v>
      </c>
      <c r="F298" t="e">
        <f t="shared" si="8"/>
        <v>#VALUE!</v>
      </c>
      <c r="G298" t="e">
        <f t="shared" si="9"/>
        <v>#VALUE!</v>
      </c>
    </row>
    <row r="299" spans="1:7" hidden="1" x14ac:dyDescent="0.15">
      <c r="A299" t="s">
        <v>2331</v>
      </c>
      <c r="B299" s="15" t="str">
        <f>Screening!I299</f>
        <v>IQTR1892874219</v>
      </c>
      <c r="C299" t="str">
        <f>Screening!F299</f>
        <v>-</v>
      </c>
      <c r="D299">
        <f>Screening!L299</f>
        <v>152.16</v>
      </c>
      <c r="E299" t="str">
        <f>Screening!N299</f>
        <v>-</v>
      </c>
      <c r="F299" t="e">
        <f t="shared" si="8"/>
        <v>#VALUE!</v>
      </c>
      <c r="G299" t="e">
        <f t="shared" si="9"/>
        <v>#VALUE!</v>
      </c>
    </row>
    <row r="300" spans="1:7" hidden="1" x14ac:dyDescent="0.15">
      <c r="A300" t="s">
        <v>2332</v>
      </c>
      <c r="B300" s="15" t="str">
        <f>Screening!I300</f>
        <v>IQTR1841179833</v>
      </c>
      <c r="C300" t="str">
        <f>Screening!F300</f>
        <v>-</v>
      </c>
      <c r="D300">
        <f>Screening!L300</f>
        <v>149.84</v>
      </c>
      <c r="E300" t="str">
        <f>Screening!N300</f>
        <v>-</v>
      </c>
      <c r="F300" t="e">
        <f t="shared" si="8"/>
        <v>#VALUE!</v>
      </c>
      <c r="G300" t="e">
        <f t="shared" si="9"/>
        <v>#VALUE!</v>
      </c>
    </row>
    <row r="301" spans="1:7" hidden="1" x14ac:dyDescent="0.15">
      <c r="A301" t="s">
        <v>2333</v>
      </c>
      <c r="B301" s="15" t="str">
        <f>Screening!I301</f>
        <v>IQTR1841428251</v>
      </c>
      <c r="C301">
        <f>Screening!F301</f>
        <v>272.97000000000003</v>
      </c>
      <c r="D301">
        <f>Screening!L301</f>
        <v>148.97999999999999</v>
      </c>
      <c r="E301" t="str">
        <f>Screening!N301</f>
        <v>-</v>
      </c>
      <c r="F301" t="e">
        <f t="shared" si="8"/>
        <v>#VALUE!</v>
      </c>
      <c r="G301" t="e">
        <f t="shared" si="9"/>
        <v>#VALUE!</v>
      </c>
    </row>
    <row r="302" spans="1:7" hidden="1" x14ac:dyDescent="0.15">
      <c r="A302" t="s">
        <v>2334</v>
      </c>
      <c r="B302" s="15" t="str">
        <f>Screening!I302</f>
        <v>IQTR1858746049</v>
      </c>
      <c r="C302">
        <f>Screening!F302</f>
        <v>39.229999999999997</v>
      </c>
      <c r="D302">
        <f>Screening!L302</f>
        <v>148.79</v>
      </c>
      <c r="E302" t="str">
        <f>Screening!N302</f>
        <v>-</v>
      </c>
      <c r="F302" t="e">
        <f t="shared" si="8"/>
        <v>#VALUE!</v>
      </c>
      <c r="G302" t="e">
        <f t="shared" si="9"/>
        <v>#VALUE!</v>
      </c>
    </row>
    <row r="303" spans="1:7" hidden="1" x14ac:dyDescent="0.15">
      <c r="A303" t="s">
        <v>2335</v>
      </c>
      <c r="B303" s="15" t="str">
        <f>Screening!I303</f>
        <v>IQTR1846649324</v>
      </c>
      <c r="C303">
        <f>Screening!F303</f>
        <v>7.38</v>
      </c>
      <c r="D303">
        <f>Screening!L303</f>
        <v>148.63999999999999</v>
      </c>
      <c r="E303">
        <f>Screening!N303</f>
        <v>4.6100000000000003</v>
      </c>
      <c r="F303" s="16">
        <f>C303/E303</f>
        <v>1.600867678958785</v>
      </c>
      <c r="G303" s="16">
        <f>100*(E303/D303)</f>
        <v>3.1014531754574817</v>
      </c>
    </row>
    <row r="304" spans="1:7" hidden="1" x14ac:dyDescent="0.15">
      <c r="A304" t="s">
        <v>2336</v>
      </c>
      <c r="B304" s="15" t="str">
        <f>Screening!I304</f>
        <v>IQTR1787740231</v>
      </c>
      <c r="C304" t="str">
        <f>Screening!F304</f>
        <v>-</v>
      </c>
      <c r="D304">
        <f>Screening!L304</f>
        <v>148.32</v>
      </c>
      <c r="E304" t="str">
        <f>Screening!N304</f>
        <v>-</v>
      </c>
      <c r="F304" t="e">
        <f t="shared" si="8"/>
        <v>#VALUE!</v>
      </c>
      <c r="G304" t="e">
        <f t="shared" si="9"/>
        <v>#VALUE!</v>
      </c>
    </row>
    <row r="305" spans="1:7" hidden="1" x14ac:dyDescent="0.15">
      <c r="A305" t="s">
        <v>2337</v>
      </c>
      <c r="B305" s="15" t="str">
        <f>Screening!I305</f>
        <v>IQTR1913342504</v>
      </c>
      <c r="C305" t="str">
        <f>Screening!F305</f>
        <v>-</v>
      </c>
      <c r="D305">
        <f>Screening!L305</f>
        <v>148.1</v>
      </c>
      <c r="E305">
        <f>Screening!N305</f>
        <v>27.1</v>
      </c>
      <c r="F305" t="e">
        <f t="shared" si="8"/>
        <v>#VALUE!</v>
      </c>
      <c r="G305">
        <f t="shared" si="9"/>
        <v>0.18298446995273465</v>
      </c>
    </row>
    <row r="306" spans="1:7" hidden="1" x14ac:dyDescent="0.15">
      <c r="A306" t="s">
        <v>2338</v>
      </c>
      <c r="B306" s="15" t="str">
        <f>Screening!I306</f>
        <v>IQTR1819258553</v>
      </c>
      <c r="C306">
        <f>Screening!F306</f>
        <v>1093.6500000000001</v>
      </c>
      <c r="D306">
        <f>Screening!L306</f>
        <v>148.08000000000001</v>
      </c>
      <c r="E306" t="str">
        <f>Screening!N306</f>
        <v>-</v>
      </c>
      <c r="F306" t="e">
        <f t="shared" si="8"/>
        <v>#VALUE!</v>
      </c>
      <c r="G306" t="e">
        <f t="shared" si="9"/>
        <v>#VALUE!</v>
      </c>
    </row>
    <row r="307" spans="1:7" hidden="1" x14ac:dyDescent="0.15">
      <c r="A307" t="s">
        <v>2339</v>
      </c>
      <c r="B307" s="15" t="str">
        <f>Screening!I307</f>
        <v>IQTR1861508166</v>
      </c>
      <c r="C307">
        <f>Screening!F307</f>
        <v>438.2</v>
      </c>
      <c r="D307">
        <f>Screening!L307</f>
        <v>147.58000000000001</v>
      </c>
      <c r="E307" t="str">
        <f>Screening!N307</f>
        <v>-</v>
      </c>
      <c r="F307" t="e">
        <f t="shared" si="8"/>
        <v>#VALUE!</v>
      </c>
      <c r="G307" t="e">
        <f t="shared" si="9"/>
        <v>#VALUE!</v>
      </c>
    </row>
    <row r="308" spans="1:7" hidden="1" x14ac:dyDescent="0.15">
      <c r="A308" t="s">
        <v>2340</v>
      </c>
      <c r="B308" s="15" t="str">
        <f>Screening!I308</f>
        <v>IQTR1887345889</v>
      </c>
      <c r="C308">
        <f>Screening!F308</f>
        <v>601.79</v>
      </c>
      <c r="D308">
        <f>Screening!L308</f>
        <v>146.35</v>
      </c>
      <c r="E308" t="str">
        <f>Screening!N308</f>
        <v>-</v>
      </c>
      <c r="F308" t="e">
        <f t="shared" si="8"/>
        <v>#VALUE!</v>
      </c>
      <c r="G308" t="e">
        <f t="shared" si="9"/>
        <v>#VALUE!</v>
      </c>
    </row>
    <row r="309" spans="1:7" hidden="1" x14ac:dyDescent="0.15">
      <c r="A309" t="s">
        <v>2341</v>
      </c>
      <c r="B309" s="15" t="str">
        <f>Screening!I309</f>
        <v>IQTR1856787058</v>
      </c>
      <c r="C309">
        <f>Screening!F309</f>
        <v>561.41999999999996</v>
      </c>
      <c r="D309">
        <f>Screening!L309</f>
        <v>146.19</v>
      </c>
      <c r="E309" t="str">
        <f>Screening!N309</f>
        <v>-</v>
      </c>
      <c r="F309" t="e">
        <f t="shared" si="8"/>
        <v>#VALUE!</v>
      </c>
      <c r="G309" t="e">
        <f t="shared" si="9"/>
        <v>#VALUE!</v>
      </c>
    </row>
    <row r="310" spans="1:7" hidden="1" x14ac:dyDescent="0.15">
      <c r="A310" t="s">
        <v>2342</v>
      </c>
      <c r="B310" s="15" t="str">
        <f>Screening!I310</f>
        <v>IQTR1776523808</v>
      </c>
      <c r="C310" t="str">
        <f>Screening!F310</f>
        <v>-</v>
      </c>
      <c r="D310">
        <f>Screening!L310</f>
        <v>144.59</v>
      </c>
      <c r="E310">
        <f>Screening!N310</f>
        <v>-5.93</v>
      </c>
      <c r="F310" t="e">
        <f t="shared" si="8"/>
        <v>#VALUE!</v>
      </c>
      <c r="G310">
        <f t="shared" si="9"/>
        <v>-4.1012518154782483E-2</v>
      </c>
    </row>
    <row r="311" spans="1:7" hidden="1" x14ac:dyDescent="0.15">
      <c r="A311" t="s">
        <v>2343</v>
      </c>
      <c r="B311" s="15" t="str">
        <f>Screening!I311</f>
        <v>IQTR1959763522</v>
      </c>
      <c r="C311">
        <f>Screening!F311</f>
        <v>0</v>
      </c>
      <c r="D311">
        <f>Screening!L311</f>
        <v>144.52000000000001</v>
      </c>
      <c r="E311">
        <f>Screening!N311</f>
        <v>-11.1</v>
      </c>
      <c r="F311" s="16">
        <f>C311/E311</f>
        <v>0</v>
      </c>
      <c r="G311" s="16">
        <f>100*(E311/D311)</f>
        <v>-7.6805978411292557</v>
      </c>
    </row>
    <row r="312" spans="1:7" hidden="1" x14ac:dyDescent="0.15">
      <c r="A312" t="s">
        <v>2344</v>
      </c>
      <c r="B312" s="15" t="str">
        <f>Screening!I312</f>
        <v>IQTR1802493741</v>
      </c>
      <c r="C312">
        <f>Screening!F312</f>
        <v>1661.12</v>
      </c>
      <c r="D312">
        <f>Screening!L312</f>
        <v>144.52000000000001</v>
      </c>
      <c r="E312" t="str">
        <f>Screening!N312</f>
        <v>-</v>
      </c>
      <c r="F312" t="e">
        <f t="shared" si="8"/>
        <v>#VALUE!</v>
      </c>
      <c r="G312" t="e">
        <f t="shared" si="9"/>
        <v>#VALUE!</v>
      </c>
    </row>
    <row r="313" spans="1:7" hidden="1" x14ac:dyDescent="0.15">
      <c r="A313" t="s">
        <v>2345</v>
      </c>
      <c r="B313" s="15" t="str">
        <f>Screening!I313</f>
        <v>IQTR1954051307</v>
      </c>
      <c r="C313">
        <f>Screening!F313</f>
        <v>527.24</v>
      </c>
      <c r="D313">
        <f>Screening!L313</f>
        <v>144.11000000000001</v>
      </c>
      <c r="E313" t="str">
        <f>Screening!N313</f>
        <v>-</v>
      </c>
      <c r="F313" t="e">
        <f t="shared" si="8"/>
        <v>#VALUE!</v>
      </c>
      <c r="G313" t="e">
        <f t="shared" si="9"/>
        <v>#VALUE!</v>
      </c>
    </row>
    <row r="314" spans="1:7" hidden="1" x14ac:dyDescent="0.15">
      <c r="A314" t="s">
        <v>2346</v>
      </c>
      <c r="B314" s="15" t="str">
        <f>Screening!I314</f>
        <v>IQTR1858079812</v>
      </c>
      <c r="C314">
        <f>Screening!F314</f>
        <v>484.88</v>
      </c>
      <c r="D314">
        <f>Screening!L314</f>
        <v>143.29</v>
      </c>
      <c r="E314" t="str">
        <f>Screening!N314</f>
        <v>-</v>
      </c>
      <c r="F314" t="e">
        <f t="shared" si="8"/>
        <v>#VALUE!</v>
      </c>
      <c r="G314" t="e">
        <f t="shared" si="9"/>
        <v>#VALUE!</v>
      </c>
    </row>
    <row r="315" spans="1:7" hidden="1" x14ac:dyDescent="0.15">
      <c r="A315" t="s">
        <v>2347</v>
      </c>
      <c r="B315" s="15" t="str">
        <f>Screening!I315</f>
        <v>IQTR1953575314</v>
      </c>
      <c r="C315">
        <f>Screening!F315</f>
        <v>35.340000000000003</v>
      </c>
      <c r="D315">
        <f>Screening!L315</f>
        <v>142.66999999999999</v>
      </c>
      <c r="E315">
        <f>Screening!N315</f>
        <v>-222</v>
      </c>
      <c r="F315" s="16">
        <f>C315/E315</f>
        <v>-0.1591891891891892</v>
      </c>
      <c r="G315" s="16">
        <f>100*(E315/D315)</f>
        <v>-155.60384103175159</v>
      </c>
    </row>
    <row r="316" spans="1:7" hidden="1" x14ac:dyDescent="0.15">
      <c r="A316" t="s">
        <v>2348</v>
      </c>
      <c r="B316" s="15" t="str">
        <f>Screening!I316</f>
        <v>IQTR1851814765</v>
      </c>
      <c r="C316" t="str">
        <f>Screening!F316</f>
        <v>-</v>
      </c>
      <c r="D316">
        <f>Screening!L316</f>
        <v>141.65</v>
      </c>
      <c r="E316" t="str">
        <f>Screening!N316</f>
        <v>-</v>
      </c>
      <c r="F316" t="e">
        <f t="shared" si="8"/>
        <v>#VALUE!</v>
      </c>
      <c r="G316" t="e">
        <f t="shared" si="9"/>
        <v>#VALUE!</v>
      </c>
    </row>
    <row r="317" spans="1:7" hidden="1" x14ac:dyDescent="0.15">
      <c r="A317" t="s">
        <v>2349</v>
      </c>
      <c r="B317" s="15" t="str">
        <f>Screening!I317</f>
        <v>IQTR1975831448</v>
      </c>
      <c r="C317">
        <f>Screening!F317</f>
        <v>359.21</v>
      </c>
      <c r="D317">
        <f>Screening!L317</f>
        <v>141.35</v>
      </c>
      <c r="E317">
        <f>Screening!N317</f>
        <v>-27.8</v>
      </c>
      <c r="F317" s="16">
        <f>C317/E317</f>
        <v>-12.921223021582733</v>
      </c>
      <c r="G317" s="16">
        <f>100*(E317/D317)</f>
        <v>-19.667492041032901</v>
      </c>
    </row>
    <row r="318" spans="1:7" hidden="1" x14ac:dyDescent="0.15">
      <c r="A318" t="s">
        <v>2350</v>
      </c>
      <c r="B318" s="15" t="str">
        <f>Screening!I318</f>
        <v>IQTR1857462641</v>
      </c>
      <c r="C318">
        <f>Screening!F318</f>
        <v>177.99</v>
      </c>
      <c r="D318">
        <f>Screening!L318</f>
        <v>141.02000000000001</v>
      </c>
      <c r="E318" t="str">
        <f>Screening!N318</f>
        <v>-</v>
      </c>
      <c r="F318" t="e">
        <f t="shared" si="8"/>
        <v>#VALUE!</v>
      </c>
      <c r="G318" t="e">
        <f t="shared" si="9"/>
        <v>#VALUE!</v>
      </c>
    </row>
    <row r="319" spans="1:7" hidden="1" x14ac:dyDescent="0.15">
      <c r="A319" t="s">
        <v>2351</v>
      </c>
      <c r="B319" s="15" t="str">
        <f>Screening!I319</f>
        <v>IQTR1973797770</v>
      </c>
      <c r="C319" t="str">
        <f>Screening!F319</f>
        <v>-</v>
      </c>
      <c r="D319">
        <f>Screening!L319</f>
        <v>141</v>
      </c>
      <c r="E319" t="str">
        <f>Screening!N319</f>
        <v>-</v>
      </c>
      <c r="F319" t="e">
        <f t="shared" si="8"/>
        <v>#VALUE!</v>
      </c>
      <c r="G319" t="e">
        <f t="shared" si="9"/>
        <v>#VALUE!</v>
      </c>
    </row>
    <row r="320" spans="1:7" hidden="1" x14ac:dyDescent="0.15">
      <c r="A320" t="s">
        <v>2352</v>
      </c>
      <c r="B320" s="15" t="str">
        <f>Screening!I320</f>
        <v>IQTR1952864549</v>
      </c>
      <c r="C320">
        <f>Screening!F320</f>
        <v>225.13</v>
      </c>
      <c r="D320">
        <f>Screening!L320</f>
        <v>140.37</v>
      </c>
      <c r="E320" t="str">
        <f>Screening!N320</f>
        <v>-</v>
      </c>
      <c r="F320" t="e">
        <f t="shared" si="8"/>
        <v>#VALUE!</v>
      </c>
      <c r="G320" t="e">
        <f t="shared" si="9"/>
        <v>#VALUE!</v>
      </c>
    </row>
    <row r="321" spans="1:7" hidden="1" x14ac:dyDescent="0.15">
      <c r="A321" t="s">
        <v>2353</v>
      </c>
      <c r="B321" s="15" t="str">
        <f>Screening!I321</f>
        <v>IQTR1877216037</v>
      </c>
      <c r="C321">
        <f>Screening!F321</f>
        <v>6.11</v>
      </c>
      <c r="D321">
        <f>Screening!L321</f>
        <v>140.01</v>
      </c>
      <c r="E321">
        <f>Screening!N321</f>
        <v>4.6100000000000003</v>
      </c>
      <c r="F321" s="16">
        <f>C321/E321</f>
        <v>1.3253796095444685</v>
      </c>
      <c r="G321" s="16">
        <f>100*(E321/D321)</f>
        <v>3.2926219555746026</v>
      </c>
    </row>
    <row r="322" spans="1:7" hidden="1" x14ac:dyDescent="0.15">
      <c r="A322" t="s">
        <v>2354</v>
      </c>
      <c r="B322" s="15" t="str">
        <f>Screening!I322</f>
        <v>IQTR1806218807</v>
      </c>
      <c r="C322">
        <f>Screening!F322</f>
        <v>1225</v>
      </c>
      <c r="D322">
        <f>Screening!L322</f>
        <v>140</v>
      </c>
      <c r="E322" t="str">
        <f>Screening!N322</f>
        <v>-</v>
      </c>
      <c r="F322" t="e">
        <f t="shared" si="8"/>
        <v>#VALUE!</v>
      </c>
      <c r="G322" t="e">
        <f t="shared" si="9"/>
        <v>#VALUE!</v>
      </c>
    </row>
    <row r="323" spans="1:7" hidden="1" x14ac:dyDescent="0.15">
      <c r="A323" t="s">
        <v>2355</v>
      </c>
      <c r="B323" s="15" t="str">
        <f>Screening!I323</f>
        <v>IQTR1877509408</v>
      </c>
      <c r="C323">
        <f>Screening!F323</f>
        <v>227.82</v>
      </c>
      <c r="D323">
        <f>Screening!L323</f>
        <v>139.87</v>
      </c>
      <c r="E323" t="str">
        <f>Screening!N323</f>
        <v>-</v>
      </c>
      <c r="F323" t="e">
        <f t="shared" ref="F323:F385" si="10">C323/E323</f>
        <v>#VALUE!</v>
      </c>
      <c r="G323" t="e">
        <f t="shared" ref="G323:G385" si="11">E323/D323</f>
        <v>#VALUE!</v>
      </c>
    </row>
    <row r="324" spans="1:7" x14ac:dyDescent="0.15">
      <c r="A324" t="s">
        <v>2356</v>
      </c>
      <c r="B324" s="15" t="str">
        <f>Screening!I324</f>
        <v>IQTR2000108346</v>
      </c>
      <c r="C324">
        <f>Screening!F324</f>
        <v>440.08</v>
      </c>
      <c r="D324">
        <f>Screening!L324</f>
        <v>139.54</v>
      </c>
      <c r="E324">
        <f>Screening!N324</f>
        <v>29.3</v>
      </c>
      <c r="F324" s="16">
        <f>C324/E324</f>
        <v>15.019795221843003</v>
      </c>
      <c r="G324" s="16">
        <f>100*(E324/D324)</f>
        <v>20.997563422674503</v>
      </c>
    </row>
    <row r="325" spans="1:7" hidden="1" x14ac:dyDescent="0.15">
      <c r="A325" t="s">
        <v>2357</v>
      </c>
      <c r="B325" s="15" t="str">
        <f>Screening!I325</f>
        <v>IQTR1868556646</v>
      </c>
      <c r="C325">
        <f>Screening!F325</f>
        <v>85.92</v>
      </c>
      <c r="D325">
        <f>Screening!L325</f>
        <v>139.34</v>
      </c>
      <c r="E325" t="str">
        <f>Screening!N325</f>
        <v>-</v>
      </c>
      <c r="F325" t="e">
        <f t="shared" si="10"/>
        <v>#VALUE!</v>
      </c>
      <c r="G325" t="e">
        <f t="shared" si="11"/>
        <v>#VALUE!</v>
      </c>
    </row>
    <row r="326" spans="1:7" hidden="1" x14ac:dyDescent="0.15">
      <c r="A326" t="s">
        <v>2358</v>
      </c>
      <c r="B326" s="15" t="str">
        <f>Screening!I326</f>
        <v>IQTR1956144133</v>
      </c>
      <c r="C326">
        <f>Screening!F326</f>
        <v>374.95</v>
      </c>
      <c r="D326">
        <f>Screening!L326</f>
        <v>138.61000000000001</v>
      </c>
      <c r="E326">
        <f>Screening!N326</f>
        <v>11.1</v>
      </c>
      <c r="F326" s="16">
        <f>C326/E326</f>
        <v>33.77927927927928</v>
      </c>
      <c r="G326" s="16">
        <f>100*(E326/D326)</f>
        <v>8.0080802250919838</v>
      </c>
    </row>
    <row r="327" spans="1:7" hidden="1" x14ac:dyDescent="0.15">
      <c r="A327" t="s">
        <v>2359</v>
      </c>
      <c r="B327" s="15" t="str">
        <f>Screening!I327</f>
        <v>IQTR1848570054</v>
      </c>
      <c r="C327">
        <f>Screening!F327</f>
        <v>580.12</v>
      </c>
      <c r="D327">
        <f>Screening!L327</f>
        <v>136.18</v>
      </c>
      <c r="E327" t="str">
        <f>Screening!N327</f>
        <v>-</v>
      </c>
      <c r="F327" t="e">
        <f t="shared" si="10"/>
        <v>#VALUE!</v>
      </c>
      <c r="G327" t="e">
        <f t="shared" si="11"/>
        <v>#VALUE!</v>
      </c>
    </row>
    <row r="328" spans="1:7" hidden="1" x14ac:dyDescent="0.15">
      <c r="A328" t="s">
        <v>2360</v>
      </c>
      <c r="B328" s="15" t="str">
        <f>Screening!I328</f>
        <v>IQTR1993657514</v>
      </c>
      <c r="C328">
        <f>Screening!F328</f>
        <v>386</v>
      </c>
      <c r="D328">
        <f>Screening!L328</f>
        <v>135.6</v>
      </c>
      <c r="E328" t="str">
        <f>Screening!N328</f>
        <v>-</v>
      </c>
      <c r="F328" t="e">
        <f t="shared" si="10"/>
        <v>#VALUE!</v>
      </c>
      <c r="G328" t="e">
        <f t="shared" si="11"/>
        <v>#VALUE!</v>
      </c>
    </row>
    <row r="329" spans="1:7" hidden="1" x14ac:dyDescent="0.15">
      <c r="A329" t="s">
        <v>2361</v>
      </c>
      <c r="B329" s="15" t="str">
        <f>Screening!I329</f>
        <v>IQTR1843348619</v>
      </c>
      <c r="C329" t="str">
        <f>Screening!F329</f>
        <v>-</v>
      </c>
      <c r="D329">
        <f>Screening!L329</f>
        <v>134.87</v>
      </c>
      <c r="E329">
        <f>Screening!N329</f>
        <v>85.3</v>
      </c>
      <c r="F329" t="e">
        <f t="shared" si="10"/>
        <v>#VALUE!</v>
      </c>
      <c r="G329">
        <f t="shared" si="11"/>
        <v>0.63246088826277147</v>
      </c>
    </row>
    <row r="330" spans="1:7" hidden="1" x14ac:dyDescent="0.15">
      <c r="A330" t="s">
        <v>2362</v>
      </c>
      <c r="B330" s="15" t="str">
        <f>Screening!I330</f>
        <v>IQTR1821928155</v>
      </c>
      <c r="C330" t="str">
        <f>Screening!F330</f>
        <v>-</v>
      </c>
      <c r="D330">
        <f>Screening!L330</f>
        <v>133.61000000000001</v>
      </c>
      <c r="E330" t="str">
        <f>Screening!N330</f>
        <v>-</v>
      </c>
      <c r="F330" t="e">
        <f t="shared" si="10"/>
        <v>#VALUE!</v>
      </c>
      <c r="G330" t="e">
        <f t="shared" si="11"/>
        <v>#VALUE!</v>
      </c>
    </row>
    <row r="331" spans="1:7" hidden="1" x14ac:dyDescent="0.15">
      <c r="A331" t="s">
        <v>2363</v>
      </c>
      <c r="B331" s="15" t="str">
        <f>Screening!I331</f>
        <v>IQTR1936601833</v>
      </c>
      <c r="C331">
        <f>Screening!F331</f>
        <v>15.8</v>
      </c>
      <c r="D331">
        <f>Screening!L331</f>
        <v>133.31</v>
      </c>
      <c r="E331">
        <f>Screening!N331</f>
        <v>9.3699999999999992</v>
      </c>
      <c r="F331" s="16">
        <f t="shared" si="10"/>
        <v>1.6862326574172894</v>
      </c>
      <c r="G331" s="16">
        <f>100*(E331/D331)</f>
        <v>7.0287300277548566</v>
      </c>
    </row>
    <row r="332" spans="1:7" hidden="1" x14ac:dyDescent="0.15">
      <c r="A332" t="s">
        <v>2364</v>
      </c>
      <c r="B332" s="15" t="str">
        <f>Screening!I332</f>
        <v>IQTR1933453624</v>
      </c>
      <c r="C332">
        <f>Screening!F332</f>
        <v>13.43</v>
      </c>
      <c r="D332">
        <f>Screening!L332</f>
        <v>133.31</v>
      </c>
      <c r="E332">
        <f>Screening!N332</f>
        <v>9.3699999999999992</v>
      </c>
      <c r="F332" s="16">
        <f t="shared" si="10"/>
        <v>1.433297758804696</v>
      </c>
      <c r="G332" s="16">
        <f>100*(E332/D332)</f>
        <v>7.0287300277548566</v>
      </c>
    </row>
    <row r="333" spans="1:7" hidden="1" x14ac:dyDescent="0.15">
      <c r="A333" t="s">
        <v>2365</v>
      </c>
      <c r="B333" s="15" t="str">
        <f>Screening!I333</f>
        <v>IQTR1773655757</v>
      </c>
      <c r="C333">
        <f>Screening!F333</f>
        <v>257.14</v>
      </c>
      <c r="D333">
        <f>Screening!L333</f>
        <v>132.35</v>
      </c>
      <c r="E333" t="str">
        <f>Screening!N333</f>
        <v>-</v>
      </c>
      <c r="F333" t="e">
        <f t="shared" si="10"/>
        <v>#VALUE!</v>
      </c>
      <c r="G333" t="e">
        <f t="shared" si="11"/>
        <v>#VALUE!</v>
      </c>
    </row>
    <row r="334" spans="1:7" hidden="1" x14ac:dyDescent="0.15">
      <c r="A334" t="s">
        <v>2366</v>
      </c>
      <c r="B334" s="15" t="str">
        <f>Screening!I334</f>
        <v>IQTR1978478323</v>
      </c>
      <c r="C334">
        <f>Screening!F334</f>
        <v>112.44</v>
      </c>
      <c r="D334">
        <f>Screening!L334</f>
        <v>131.82</v>
      </c>
      <c r="E334">
        <f>Screening!N334</f>
        <v>9.7899999999999991</v>
      </c>
      <c r="F334" s="16">
        <f t="shared" si="10"/>
        <v>11.485188968335036</v>
      </c>
      <c r="G334" s="16">
        <f>100*(E334/D334)</f>
        <v>7.4267941131846458</v>
      </c>
    </row>
    <row r="335" spans="1:7" hidden="1" x14ac:dyDescent="0.15">
      <c r="A335" t="s">
        <v>2367</v>
      </c>
      <c r="B335" s="15" t="str">
        <f>Screening!I335</f>
        <v>IQTR1775266576</v>
      </c>
      <c r="C335">
        <f>Screening!F335</f>
        <v>48.61</v>
      </c>
      <c r="D335">
        <f>Screening!L335</f>
        <v>131.59</v>
      </c>
      <c r="E335">
        <f>Screening!N335</f>
        <v>-38.4</v>
      </c>
      <c r="F335" s="16">
        <f t="shared" si="10"/>
        <v>-1.2658854166666667</v>
      </c>
      <c r="G335" s="16">
        <f>100*(E335/D335)</f>
        <v>-29.181548749905005</v>
      </c>
    </row>
    <row r="336" spans="1:7" hidden="1" x14ac:dyDescent="0.15">
      <c r="A336" t="s">
        <v>2368</v>
      </c>
      <c r="B336" s="15" t="str">
        <f>Screening!I336</f>
        <v>IQTR1838748376</v>
      </c>
      <c r="C336">
        <f>Screening!F336</f>
        <v>2.65</v>
      </c>
      <c r="D336">
        <f>Screening!L336</f>
        <v>131.25</v>
      </c>
      <c r="E336" t="str">
        <f>Screening!N336</f>
        <v>-</v>
      </c>
      <c r="F336" t="e">
        <f t="shared" si="10"/>
        <v>#VALUE!</v>
      </c>
      <c r="G336" t="e">
        <f t="shared" si="11"/>
        <v>#VALUE!</v>
      </c>
    </row>
    <row r="337" spans="1:7" hidden="1" x14ac:dyDescent="0.15">
      <c r="A337" t="s">
        <v>2369</v>
      </c>
      <c r="B337" s="15" t="str">
        <f>Screening!I337</f>
        <v>IQTR1760211386</v>
      </c>
      <c r="C337">
        <f>Screening!F337</f>
        <v>213.8</v>
      </c>
      <c r="D337">
        <f>Screening!L337</f>
        <v>129.75</v>
      </c>
      <c r="E337" t="str">
        <f>Screening!N337</f>
        <v>-</v>
      </c>
      <c r="F337" t="e">
        <f t="shared" si="10"/>
        <v>#VALUE!</v>
      </c>
      <c r="G337" t="e">
        <f t="shared" si="11"/>
        <v>#VALUE!</v>
      </c>
    </row>
    <row r="338" spans="1:7" hidden="1" x14ac:dyDescent="0.15">
      <c r="A338" t="s">
        <v>2370</v>
      </c>
      <c r="B338" s="15" t="str">
        <f>Screening!I338</f>
        <v>IQTR1989957782</v>
      </c>
      <c r="C338">
        <f>Screening!F338</f>
        <v>76.209999999999994</v>
      </c>
      <c r="D338">
        <f>Screening!L338</f>
        <v>129.19</v>
      </c>
      <c r="E338">
        <f>Screening!N338</f>
        <v>-4.3499999999999996</v>
      </c>
      <c r="F338" s="16">
        <f t="shared" si="10"/>
        <v>-17.519540229885056</v>
      </c>
      <c r="G338" s="16">
        <f>100*(E338/D338)</f>
        <v>-3.3671336790773276</v>
      </c>
    </row>
    <row r="339" spans="1:7" hidden="1" x14ac:dyDescent="0.15">
      <c r="A339" t="s">
        <v>2371</v>
      </c>
      <c r="B339" s="15" t="str">
        <f>Screening!I339</f>
        <v>IQTR1966769443</v>
      </c>
      <c r="C339">
        <f>Screening!F339</f>
        <v>8.39</v>
      </c>
      <c r="D339">
        <f>Screening!L339</f>
        <v>127.69</v>
      </c>
      <c r="E339">
        <f>Screening!N339</f>
        <v>-1.77</v>
      </c>
      <c r="F339" s="16">
        <f t="shared" si="10"/>
        <v>-4.7401129943502829</v>
      </c>
      <c r="G339" s="16">
        <f>100*(E339/D339)</f>
        <v>-1.3861696295716188</v>
      </c>
    </row>
    <row r="340" spans="1:7" hidden="1" x14ac:dyDescent="0.15">
      <c r="A340" t="s">
        <v>2372</v>
      </c>
      <c r="B340" s="15" t="str">
        <f>Screening!I340</f>
        <v>IQTR1940213305</v>
      </c>
      <c r="C340">
        <f>Screening!F340</f>
        <v>5.12</v>
      </c>
      <c r="D340">
        <f>Screening!L340</f>
        <v>127.19</v>
      </c>
      <c r="E340">
        <f>Screening!N340</f>
        <v>15.5</v>
      </c>
      <c r="F340" s="16">
        <f t="shared" si="10"/>
        <v>0.33032258064516129</v>
      </c>
      <c r="G340" s="16">
        <f>100*(E340/D340)</f>
        <v>12.186492648793145</v>
      </c>
    </row>
    <row r="341" spans="1:7" hidden="1" x14ac:dyDescent="0.15">
      <c r="A341" t="s">
        <v>2373</v>
      </c>
      <c r="B341" s="15" t="str">
        <f>Screening!I341</f>
        <v>IQTR1994072142</v>
      </c>
      <c r="C341" t="str">
        <f>Screening!F341</f>
        <v>-</v>
      </c>
      <c r="D341">
        <f>Screening!L341</f>
        <v>126.99</v>
      </c>
      <c r="E341" t="str">
        <f>Screening!N341</f>
        <v>-</v>
      </c>
      <c r="F341" t="e">
        <f t="shared" si="10"/>
        <v>#VALUE!</v>
      </c>
      <c r="G341" t="e">
        <f t="shared" si="11"/>
        <v>#VALUE!</v>
      </c>
    </row>
    <row r="342" spans="1:7" hidden="1" x14ac:dyDescent="0.15">
      <c r="A342" t="s">
        <v>2374</v>
      </c>
      <c r="B342" s="15" t="str">
        <f>Screening!I342</f>
        <v>IQTR1898247385</v>
      </c>
      <c r="C342">
        <f>Screening!F342</f>
        <v>49.24</v>
      </c>
      <c r="D342">
        <f>Screening!L342</f>
        <v>126</v>
      </c>
      <c r="E342">
        <f>Screening!N342</f>
        <v>-11.8</v>
      </c>
      <c r="F342" s="16">
        <f>C342/E342</f>
        <v>-4.1728813559322031</v>
      </c>
      <c r="G342" s="16">
        <f>100*(E342/D342)</f>
        <v>-9.3650793650793656</v>
      </c>
    </row>
    <row r="343" spans="1:7" hidden="1" x14ac:dyDescent="0.15">
      <c r="A343" t="s">
        <v>2375</v>
      </c>
      <c r="B343" s="15" t="str">
        <f>Screening!I343</f>
        <v>IQTR1685606417</v>
      </c>
      <c r="C343" t="str">
        <f>Screening!F343</f>
        <v>-</v>
      </c>
      <c r="D343">
        <f>Screening!L343</f>
        <v>125.67</v>
      </c>
      <c r="E343">
        <f>Screening!N343</f>
        <v>-0.57099999999999995</v>
      </c>
      <c r="F343" t="e">
        <f t="shared" si="10"/>
        <v>#VALUE!</v>
      </c>
      <c r="G343">
        <f t="shared" si="11"/>
        <v>-4.5436460571337623E-3</v>
      </c>
    </row>
    <row r="344" spans="1:7" hidden="1" x14ac:dyDescent="0.15">
      <c r="A344" t="s">
        <v>2376</v>
      </c>
      <c r="B344" s="15" t="str">
        <f>Screening!I344</f>
        <v>IQTR1774394824</v>
      </c>
      <c r="C344" t="str">
        <f>Screening!F344</f>
        <v>-</v>
      </c>
      <c r="D344">
        <f>Screening!L344</f>
        <v>124.97</v>
      </c>
      <c r="E344">
        <f>Screening!N344</f>
        <v>47</v>
      </c>
      <c r="F344" t="e">
        <f t="shared" si="10"/>
        <v>#VALUE!</v>
      </c>
      <c r="G344">
        <f t="shared" si="11"/>
        <v>0.37609026166279907</v>
      </c>
    </row>
    <row r="345" spans="1:7" hidden="1" x14ac:dyDescent="0.15">
      <c r="A345" t="s">
        <v>2377</v>
      </c>
      <c r="B345" s="15" t="str">
        <f>Screening!I345</f>
        <v>IQTR1898117177</v>
      </c>
      <c r="C345" t="str">
        <f>Screening!F345</f>
        <v>-</v>
      </c>
      <c r="D345">
        <f>Screening!L345</f>
        <v>124.93</v>
      </c>
      <c r="E345">
        <f>Screening!N345</f>
        <v>-0.83199999999999996</v>
      </c>
      <c r="F345" t="e">
        <f t="shared" si="10"/>
        <v>#VALUE!</v>
      </c>
      <c r="G345">
        <f t="shared" si="11"/>
        <v>-6.6597294484911545E-3</v>
      </c>
    </row>
    <row r="346" spans="1:7" hidden="1" x14ac:dyDescent="0.15">
      <c r="A346" t="s">
        <v>2378</v>
      </c>
      <c r="B346" s="15" t="str">
        <f>Screening!I346</f>
        <v>IQTR1790012501</v>
      </c>
      <c r="C346" t="str">
        <f>Screening!F346</f>
        <v>-</v>
      </c>
      <c r="D346">
        <f>Screening!L346</f>
        <v>124.64</v>
      </c>
      <c r="E346" t="str">
        <f>Screening!N346</f>
        <v>-</v>
      </c>
      <c r="F346" t="e">
        <f t="shared" si="10"/>
        <v>#VALUE!</v>
      </c>
      <c r="G346" t="e">
        <f t="shared" si="11"/>
        <v>#VALUE!</v>
      </c>
    </row>
    <row r="347" spans="1:7" hidden="1" x14ac:dyDescent="0.15">
      <c r="A347" t="s">
        <v>2379</v>
      </c>
      <c r="B347" s="15" t="str">
        <f>Screening!I347</f>
        <v>IQTR1852980108</v>
      </c>
      <c r="C347" t="str">
        <f>Screening!F347</f>
        <v>-</v>
      </c>
      <c r="D347">
        <f>Screening!L347</f>
        <v>124.01</v>
      </c>
      <c r="E347" t="str">
        <f>Screening!N347</f>
        <v>-</v>
      </c>
      <c r="F347" t="e">
        <f t="shared" si="10"/>
        <v>#VALUE!</v>
      </c>
      <c r="G347" t="e">
        <f t="shared" si="11"/>
        <v>#VALUE!</v>
      </c>
    </row>
    <row r="348" spans="1:7" hidden="1" x14ac:dyDescent="0.15">
      <c r="A348" t="s">
        <v>2380</v>
      </c>
      <c r="B348" s="15" t="str">
        <f>Screening!I348</f>
        <v>IQTR1970790927</v>
      </c>
      <c r="C348">
        <f>Screening!F348</f>
        <v>17.25</v>
      </c>
      <c r="D348">
        <f>Screening!L348</f>
        <v>123.51</v>
      </c>
      <c r="E348">
        <f>Screening!N348</f>
        <v>10.3</v>
      </c>
      <c r="F348" s="16">
        <f t="shared" si="10"/>
        <v>1.674757281553398</v>
      </c>
      <c r="G348" s="16">
        <f>100*(E348/D348)</f>
        <v>8.339405716136346</v>
      </c>
    </row>
    <row r="349" spans="1:7" hidden="1" x14ac:dyDescent="0.15">
      <c r="A349" t="s">
        <v>2381</v>
      </c>
      <c r="B349" s="15" t="str">
        <f>Screening!I349</f>
        <v>IQTR1943631512</v>
      </c>
      <c r="C349">
        <f>Screening!F349</f>
        <v>20.64</v>
      </c>
      <c r="D349">
        <f>Screening!L349</f>
        <v>123.37</v>
      </c>
      <c r="E349">
        <f>Screening!N349</f>
        <v>14.5</v>
      </c>
      <c r="F349" s="16">
        <f t="shared" si="10"/>
        <v>1.423448275862069</v>
      </c>
      <c r="G349" s="16">
        <f>100*(E349/D349)</f>
        <v>11.753262543568129</v>
      </c>
    </row>
    <row r="350" spans="1:7" hidden="1" x14ac:dyDescent="0.15">
      <c r="A350" t="s">
        <v>2382</v>
      </c>
      <c r="B350" s="15" t="str">
        <f>Screening!I350</f>
        <v>IQTR1782348863</v>
      </c>
      <c r="C350">
        <f>Screening!F350</f>
        <v>9.14</v>
      </c>
      <c r="D350">
        <f>Screening!L350</f>
        <v>122.78</v>
      </c>
      <c r="E350">
        <f>Screening!N350</f>
        <v>3.97</v>
      </c>
      <c r="F350" s="16">
        <f t="shared" si="10"/>
        <v>2.3022670025188918</v>
      </c>
      <c r="G350" s="16">
        <f>100*(E350/D350)</f>
        <v>3.2334256393549441</v>
      </c>
    </row>
    <row r="351" spans="1:7" hidden="1" x14ac:dyDescent="0.15">
      <c r="A351" t="s">
        <v>2383</v>
      </c>
      <c r="B351" s="15" t="str">
        <f>Screening!I351</f>
        <v>IQTR1971943154</v>
      </c>
      <c r="C351">
        <f>Screening!F351</f>
        <v>37.51</v>
      </c>
      <c r="D351">
        <f>Screening!L351</f>
        <v>122.36</v>
      </c>
      <c r="E351">
        <f>Screening!N351</f>
        <v>2.91</v>
      </c>
      <c r="F351" s="16">
        <f t="shared" si="10"/>
        <v>12.890034364261167</v>
      </c>
      <c r="G351" s="16">
        <f>100*(E351/D351)</f>
        <v>2.3782281791435111</v>
      </c>
    </row>
    <row r="352" spans="1:7" hidden="1" x14ac:dyDescent="0.15">
      <c r="A352" t="s">
        <v>2384</v>
      </c>
      <c r="B352" s="15" t="str">
        <f>Screening!I352</f>
        <v>IQTR1929480369</v>
      </c>
      <c r="C352" t="str">
        <f>Screening!F352</f>
        <v>-</v>
      </c>
      <c r="D352">
        <f>Screening!L352</f>
        <v>120.71</v>
      </c>
      <c r="E352">
        <f>Screening!N352</f>
        <v>-2.86</v>
      </c>
      <c r="F352" t="e">
        <f t="shared" si="10"/>
        <v>#VALUE!</v>
      </c>
      <c r="G352">
        <f t="shared" si="11"/>
        <v>-2.3693148869190623E-2</v>
      </c>
    </row>
    <row r="353" spans="1:7" hidden="1" x14ac:dyDescent="0.15">
      <c r="A353" t="s">
        <v>2385</v>
      </c>
      <c r="B353" s="15" t="str">
        <f>Screening!I353</f>
        <v>IQTR1840893632</v>
      </c>
      <c r="C353" t="str">
        <f>Screening!F353</f>
        <v>-</v>
      </c>
      <c r="D353">
        <f>Screening!L353</f>
        <v>120</v>
      </c>
      <c r="E353" t="str">
        <f>Screening!N353</f>
        <v>-</v>
      </c>
      <c r="F353" t="e">
        <f t="shared" si="10"/>
        <v>#VALUE!</v>
      </c>
      <c r="G353" t="e">
        <f t="shared" si="11"/>
        <v>#VALUE!</v>
      </c>
    </row>
    <row r="354" spans="1:7" hidden="1" x14ac:dyDescent="0.15">
      <c r="A354" t="s">
        <v>2386</v>
      </c>
      <c r="B354" s="15" t="str">
        <f>Screening!I354</f>
        <v>IQTR1790092354</v>
      </c>
      <c r="C354">
        <f>Screening!F354</f>
        <v>31.34</v>
      </c>
      <c r="D354">
        <f>Screening!L354</f>
        <v>119.62</v>
      </c>
      <c r="E354">
        <f>Screening!N354</f>
        <v>-38.4</v>
      </c>
      <c r="F354" s="16">
        <f>C354/E354</f>
        <v>-0.81614583333333335</v>
      </c>
      <c r="G354" s="16">
        <f>100*(E354/D354)</f>
        <v>-32.101655241598394</v>
      </c>
    </row>
    <row r="355" spans="1:7" hidden="1" x14ac:dyDescent="0.15">
      <c r="A355" t="s">
        <v>2387</v>
      </c>
      <c r="B355" s="15" t="str">
        <f>Screening!I355</f>
        <v>IQTR1914760953</v>
      </c>
      <c r="C355">
        <f>Screening!F355</f>
        <v>150</v>
      </c>
      <c r="D355">
        <f>Screening!L355</f>
        <v>118.65</v>
      </c>
      <c r="E355" t="str">
        <f>Screening!N355</f>
        <v>-</v>
      </c>
      <c r="F355" t="e">
        <f t="shared" si="10"/>
        <v>#VALUE!</v>
      </c>
      <c r="G355" t="e">
        <f t="shared" si="11"/>
        <v>#VALUE!</v>
      </c>
    </row>
    <row r="356" spans="1:7" hidden="1" x14ac:dyDescent="0.15">
      <c r="A356" t="s">
        <v>2388</v>
      </c>
      <c r="B356" s="15" t="str">
        <f>Screening!I356</f>
        <v>IQTR1967762446</v>
      </c>
      <c r="C356">
        <f>Screening!F356</f>
        <v>415.36</v>
      </c>
      <c r="D356">
        <f>Screening!L356</f>
        <v>118.54</v>
      </c>
      <c r="E356">
        <f>Screening!N356</f>
        <v>18.2</v>
      </c>
      <c r="F356" s="16">
        <f>C356/E356</f>
        <v>22.821978021978023</v>
      </c>
      <c r="G356" s="16">
        <f>100*(E356/D356)</f>
        <v>15.353467184072885</v>
      </c>
    </row>
    <row r="357" spans="1:7" hidden="1" x14ac:dyDescent="0.15">
      <c r="A357" t="s">
        <v>2389</v>
      </c>
      <c r="B357" s="15" t="str">
        <f>Screening!I357</f>
        <v>IQTR1951704251</v>
      </c>
      <c r="C357" t="str">
        <f>Screening!F357</f>
        <v>-</v>
      </c>
      <c r="D357">
        <f>Screening!L357</f>
        <v>117.76</v>
      </c>
      <c r="E357" t="str">
        <f>Screening!N357</f>
        <v>-</v>
      </c>
      <c r="F357" t="e">
        <f t="shared" si="10"/>
        <v>#VALUE!</v>
      </c>
      <c r="G357" t="e">
        <f t="shared" si="11"/>
        <v>#VALUE!</v>
      </c>
    </row>
    <row r="358" spans="1:7" hidden="1" x14ac:dyDescent="0.15">
      <c r="A358" t="s">
        <v>2390</v>
      </c>
      <c r="B358" s="15" t="str">
        <f>Screening!I358</f>
        <v>IQTR1959706689</v>
      </c>
      <c r="C358" t="str">
        <f>Screening!F358</f>
        <v>-</v>
      </c>
      <c r="D358">
        <f>Screening!L358</f>
        <v>117.45</v>
      </c>
      <c r="E358">
        <f>Screening!N358</f>
        <v>7.5</v>
      </c>
      <c r="F358" t="e">
        <f t="shared" si="10"/>
        <v>#VALUE!</v>
      </c>
      <c r="G358">
        <f t="shared" si="11"/>
        <v>6.3856960408684549E-2</v>
      </c>
    </row>
    <row r="359" spans="1:7" hidden="1" x14ac:dyDescent="0.15">
      <c r="A359" t="s">
        <v>2391</v>
      </c>
      <c r="B359" s="15" t="str">
        <f>Screening!I359</f>
        <v>IQTR1777327605</v>
      </c>
      <c r="C359">
        <f>Screening!F359</f>
        <v>571.13</v>
      </c>
      <c r="D359">
        <f>Screening!L359</f>
        <v>115.65</v>
      </c>
      <c r="E359" t="str">
        <f>Screening!N359</f>
        <v>-</v>
      </c>
      <c r="F359" t="e">
        <f t="shared" si="10"/>
        <v>#VALUE!</v>
      </c>
      <c r="G359" t="e">
        <f t="shared" si="11"/>
        <v>#VALUE!</v>
      </c>
    </row>
    <row r="360" spans="1:7" hidden="1" x14ac:dyDescent="0.15">
      <c r="A360" t="s">
        <v>2392</v>
      </c>
      <c r="B360" s="15" t="str">
        <f>Screening!I360</f>
        <v>IQTR1968065777</v>
      </c>
      <c r="C360">
        <f>Screening!F360</f>
        <v>202.36</v>
      </c>
      <c r="D360">
        <f>Screening!L360</f>
        <v>115.63</v>
      </c>
      <c r="E360" t="str">
        <f>Screening!N360</f>
        <v>-</v>
      </c>
      <c r="F360" t="e">
        <f t="shared" si="10"/>
        <v>#VALUE!</v>
      </c>
      <c r="G360" t="e">
        <f t="shared" si="11"/>
        <v>#VALUE!</v>
      </c>
    </row>
    <row r="361" spans="1:7" hidden="1" x14ac:dyDescent="0.15">
      <c r="A361" t="s">
        <v>2393</v>
      </c>
      <c r="B361" s="15" t="str">
        <f>Screening!I361</f>
        <v>IQTR1868567569</v>
      </c>
      <c r="C361">
        <f>Screening!F361</f>
        <v>43.81</v>
      </c>
      <c r="D361">
        <f>Screening!L361</f>
        <v>115.56</v>
      </c>
      <c r="E361" t="str">
        <f>Screening!N361</f>
        <v>-</v>
      </c>
      <c r="F361" t="e">
        <f t="shared" si="10"/>
        <v>#VALUE!</v>
      </c>
      <c r="G361" t="e">
        <f t="shared" si="11"/>
        <v>#VALUE!</v>
      </c>
    </row>
    <row r="362" spans="1:7" hidden="1" x14ac:dyDescent="0.15">
      <c r="A362" t="s">
        <v>2394</v>
      </c>
      <c r="B362" s="15" t="str">
        <f>Screening!I362</f>
        <v>IQTR1902619677</v>
      </c>
      <c r="C362">
        <f>Screening!F362</f>
        <v>185</v>
      </c>
      <c r="D362">
        <f>Screening!L362</f>
        <v>115</v>
      </c>
      <c r="E362" t="str">
        <f>Screening!N362</f>
        <v>-</v>
      </c>
      <c r="F362" t="e">
        <f t="shared" si="10"/>
        <v>#VALUE!</v>
      </c>
      <c r="G362" t="e">
        <f t="shared" si="11"/>
        <v>#VALUE!</v>
      </c>
    </row>
    <row r="363" spans="1:7" hidden="1" x14ac:dyDescent="0.15">
      <c r="A363" t="s">
        <v>2395</v>
      </c>
      <c r="B363" s="15" t="str">
        <f>Screening!I363</f>
        <v>IQTR2010436780</v>
      </c>
      <c r="C363">
        <f>Screening!F363</f>
        <v>142.85</v>
      </c>
      <c r="D363">
        <f>Screening!L363</f>
        <v>114.51</v>
      </c>
      <c r="E363">
        <f>Screening!N363</f>
        <v>48.7</v>
      </c>
      <c r="F363" s="16">
        <f>C363/E363</f>
        <v>2.9332648870636548</v>
      </c>
      <c r="G363" s="16">
        <f>100*(E363/D363)</f>
        <v>42.529036765348003</v>
      </c>
    </row>
    <row r="364" spans="1:7" hidden="1" x14ac:dyDescent="0.15">
      <c r="A364" t="s">
        <v>2396</v>
      </c>
      <c r="B364" s="15" t="str">
        <f>Screening!I364</f>
        <v>IQTR1879611732</v>
      </c>
      <c r="C364">
        <f>Screening!F364</f>
        <v>91.93</v>
      </c>
      <c r="D364">
        <f>Screening!L364</f>
        <v>114.17</v>
      </c>
      <c r="E364" t="str">
        <f>Screening!N364</f>
        <v>-</v>
      </c>
      <c r="F364" t="e">
        <f t="shared" si="10"/>
        <v>#VALUE!</v>
      </c>
      <c r="G364" t="e">
        <f t="shared" si="11"/>
        <v>#VALUE!</v>
      </c>
    </row>
    <row r="365" spans="1:7" hidden="1" x14ac:dyDescent="0.15">
      <c r="A365" t="s">
        <v>2397</v>
      </c>
      <c r="B365" s="15" t="str">
        <f>Screening!I365</f>
        <v>IQTR1916609504</v>
      </c>
      <c r="C365" t="str">
        <f>Screening!F365</f>
        <v>-</v>
      </c>
      <c r="D365">
        <f>Screening!L365</f>
        <v>113.24</v>
      </c>
      <c r="E365">
        <f>Screening!N365</f>
        <v>6.71</v>
      </c>
      <c r="F365" t="e">
        <f t="shared" si="10"/>
        <v>#VALUE!</v>
      </c>
      <c r="G365">
        <f t="shared" si="11"/>
        <v>5.925468032497351E-2</v>
      </c>
    </row>
    <row r="366" spans="1:7" hidden="1" x14ac:dyDescent="0.15">
      <c r="A366" t="s">
        <v>2398</v>
      </c>
      <c r="B366" s="15" t="str">
        <f>Screening!I366</f>
        <v>IQTR1759303018</v>
      </c>
      <c r="C366" t="str">
        <f>Screening!F366</f>
        <v>-</v>
      </c>
      <c r="D366">
        <f>Screening!L366</f>
        <v>113</v>
      </c>
      <c r="E366" t="str">
        <f>Screening!N366</f>
        <v>-</v>
      </c>
      <c r="F366" t="e">
        <f t="shared" si="10"/>
        <v>#VALUE!</v>
      </c>
      <c r="G366" t="e">
        <f t="shared" si="11"/>
        <v>#VALUE!</v>
      </c>
    </row>
    <row r="367" spans="1:7" hidden="1" x14ac:dyDescent="0.15">
      <c r="A367" t="s">
        <v>2399</v>
      </c>
      <c r="B367" s="15" t="str">
        <f>Screening!I367</f>
        <v>IQTR1824931185</v>
      </c>
      <c r="C367">
        <f>Screening!F367</f>
        <v>514</v>
      </c>
      <c r="D367">
        <f>Screening!L367</f>
        <v>111.33</v>
      </c>
      <c r="E367" t="str">
        <f>Screening!N367</f>
        <v>-</v>
      </c>
      <c r="F367" t="e">
        <f t="shared" si="10"/>
        <v>#VALUE!</v>
      </c>
      <c r="G367" t="e">
        <f t="shared" si="11"/>
        <v>#VALUE!</v>
      </c>
    </row>
    <row r="368" spans="1:7" hidden="1" x14ac:dyDescent="0.15">
      <c r="A368" t="s">
        <v>2400</v>
      </c>
      <c r="B368" s="15" t="str">
        <f>Screening!I368</f>
        <v>IQTR1875181518</v>
      </c>
      <c r="C368">
        <f>Screening!F368</f>
        <v>55.5</v>
      </c>
      <c r="D368">
        <f>Screening!L368</f>
        <v>111</v>
      </c>
      <c r="E368" t="str">
        <f>Screening!N368</f>
        <v>-</v>
      </c>
      <c r="F368" t="e">
        <f t="shared" si="10"/>
        <v>#VALUE!</v>
      </c>
      <c r="G368" t="e">
        <f t="shared" si="11"/>
        <v>#VALUE!</v>
      </c>
    </row>
    <row r="369" spans="1:7" hidden="1" x14ac:dyDescent="0.15">
      <c r="A369" t="s">
        <v>2401</v>
      </c>
      <c r="B369" s="15" t="str">
        <f>Screening!I369</f>
        <v>IQTR1818243642</v>
      </c>
      <c r="C369">
        <f>Screening!F369</f>
        <v>218.19</v>
      </c>
      <c r="D369">
        <f>Screening!L369</f>
        <v>110.52</v>
      </c>
      <c r="E369" t="str">
        <f>Screening!N369</f>
        <v>-</v>
      </c>
      <c r="F369" t="e">
        <f t="shared" si="10"/>
        <v>#VALUE!</v>
      </c>
      <c r="G369" t="e">
        <f t="shared" si="11"/>
        <v>#VALUE!</v>
      </c>
    </row>
    <row r="370" spans="1:7" hidden="1" x14ac:dyDescent="0.15">
      <c r="A370" t="s">
        <v>2402</v>
      </c>
      <c r="B370" s="15" t="str">
        <f>Screening!I370</f>
        <v>IQTR1935250186</v>
      </c>
      <c r="C370">
        <f>Screening!F370</f>
        <v>70</v>
      </c>
      <c r="D370">
        <f>Screening!L370</f>
        <v>110.22</v>
      </c>
      <c r="E370">
        <f>Screening!N370</f>
        <v>70.5</v>
      </c>
      <c r="F370" s="16">
        <f t="shared" si="10"/>
        <v>0.99290780141843971</v>
      </c>
      <c r="G370" s="16">
        <f>100*(E370/D370)</f>
        <v>63.962983124659765</v>
      </c>
    </row>
    <row r="371" spans="1:7" hidden="1" x14ac:dyDescent="0.15">
      <c r="A371" t="s">
        <v>2403</v>
      </c>
      <c r="B371" s="15" t="str">
        <f>Screening!I371</f>
        <v>IQTR1826884014</v>
      </c>
      <c r="C371">
        <f>Screening!F371</f>
        <v>4.3600000000000003</v>
      </c>
      <c r="D371">
        <f>Screening!L371</f>
        <v>110.14</v>
      </c>
      <c r="E371">
        <f>Screening!N371</f>
        <v>5.1100000000000003</v>
      </c>
      <c r="F371" s="16">
        <f t="shared" si="10"/>
        <v>0.85322896281800398</v>
      </c>
      <c r="G371" s="16">
        <f>100*(E371/D371)</f>
        <v>4.6395496640639191</v>
      </c>
    </row>
    <row r="372" spans="1:7" hidden="1" x14ac:dyDescent="0.15">
      <c r="A372" t="s">
        <v>2404</v>
      </c>
      <c r="B372" s="15" t="str">
        <f>Screening!I372</f>
        <v>IQTR1865249514</v>
      </c>
      <c r="C372">
        <f>Screening!F372</f>
        <v>48.9</v>
      </c>
      <c r="D372">
        <f>Screening!L372</f>
        <v>110.04</v>
      </c>
      <c r="E372">
        <f>Screening!N372</f>
        <v>-23.8</v>
      </c>
      <c r="F372" s="16">
        <f t="shared" si="10"/>
        <v>-2.0546218487394956</v>
      </c>
      <c r="G372" s="16">
        <f>100*(E372/D372)</f>
        <v>-21.628498727735369</v>
      </c>
    </row>
    <row r="373" spans="1:7" hidden="1" x14ac:dyDescent="0.15">
      <c r="A373" t="s">
        <v>2405</v>
      </c>
      <c r="B373" s="15" t="str">
        <f>Screening!I373</f>
        <v>IQTR1773108328</v>
      </c>
      <c r="C373">
        <f>Screening!F373</f>
        <v>50</v>
      </c>
      <c r="D373">
        <f>Screening!L373</f>
        <v>110</v>
      </c>
      <c r="E373" t="str">
        <f>Screening!N373</f>
        <v>-</v>
      </c>
      <c r="F373" t="e">
        <f t="shared" si="10"/>
        <v>#VALUE!</v>
      </c>
      <c r="G373" t="e">
        <f t="shared" si="11"/>
        <v>#VALUE!</v>
      </c>
    </row>
    <row r="374" spans="1:7" hidden="1" x14ac:dyDescent="0.15">
      <c r="A374" t="s">
        <v>2406</v>
      </c>
      <c r="B374" s="15" t="str">
        <f>Screening!I374</f>
        <v>IQTR1884084103</v>
      </c>
      <c r="C374" t="str">
        <f>Screening!F374</f>
        <v>-</v>
      </c>
      <c r="D374">
        <f>Screening!L374</f>
        <v>108.81</v>
      </c>
      <c r="E374" t="str">
        <f>Screening!N374</f>
        <v>-</v>
      </c>
      <c r="F374" t="e">
        <f t="shared" si="10"/>
        <v>#VALUE!</v>
      </c>
      <c r="G374" t="e">
        <f t="shared" si="11"/>
        <v>#VALUE!</v>
      </c>
    </row>
    <row r="375" spans="1:7" hidden="1" x14ac:dyDescent="0.15">
      <c r="A375" t="s">
        <v>2407</v>
      </c>
      <c r="B375" s="15" t="str">
        <f>Screening!I375</f>
        <v>IQTR1872174356</v>
      </c>
      <c r="C375" t="str">
        <f>Screening!F375</f>
        <v>-</v>
      </c>
      <c r="D375">
        <f>Screening!L375</f>
        <v>108.19</v>
      </c>
      <c r="E375" t="str">
        <f>Screening!N375</f>
        <v>-</v>
      </c>
      <c r="F375" t="e">
        <f t="shared" si="10"/>
        <v>#VALUE!</v>
      </c>
      <c r="G375" t="e">
        <f t="shared" si="11"/>
        <v>#VALUE!</v>
      </c>
    </row>
    <row r="376" spans="1:7" hidden="1" x14ac:dyDescent="0.15">
      <c r="A376" t="s">
        <v>2408</v>
      </c>
      <c r="B376" s="15" t="str">
        <f>Screening!I376</f>
        <v>IQTR1773528769</v>
      </c>
      <c r="C376">
        <f>Screening!F376</f>
        <v>112.12</v>
      </c>
      <c r="D376">
        <f>Screening!L376</f>
        <v>107.75</v>
      </c>
      <c r="E376">
        <f>Screening!N376</f>
        <v>34.700000000000003</v>
      </c>
      <c r="F376" s="16">
        <f>C376/E376</f>
        <v>3.2311239193083572</v>
      </c>
      <c r="G376" s="16">
        <f>100*(E376/D376)</f>
        <v>32.204176334106734</v>
      </c>
    </row>
    <row r="377" spans="1:7" hidden="1" x14ac:dyDescent="0.15">
      <c r="A377" t="s">
        <v>2409</v>
      </c>
      <c r="B377" s="15" t="str">
        <f>Screening!I377</f>
        <v>IQTR1770405432</v>
      </c>
      <c r="C377">
        <f>Screening!F377</f>
        <v>350</v>
      </c>
      <c r="D377">
        <f>Screening!L377</f>
        <v>106.84</v>
      </c>
      <c r="E377" t="str">
        <f>Screening!N377</f>
        <v>-</v>
      </c>
      <c r="F377" t="e">
        <f t="shared" si="10"/>
        <v>#VALUE!</v>
      </c>
      <c r="G377" t="e">
        <f t="shared" si="11"/>
        <v>#VALUE!</v>
      </c>
    </row>
    <row r="378" spans="1:7" hidden="1" x14ac:dyDescent="0.15">
      <c r="A378" t="s">
        <v>2410</v>
      </c>
      <c r="B378" s="15" t="str">
        <f>Screening!I378</f>
        <v>IQTR1782101095</v>
      </c>
      <c r="C378" t="str">
        <f>Screening!F378</f>
        <v>-</v>
      </c>
      <c r="D378">
        <f>Screening!L378</f>
        <v>105.34</v>
      </c>
      <c r="E378" t="str">
        <f>Screening!N378</f>
        <v>-</v>
      </c>
      <c r="F378" t="e">
        <f t="shared" si="10"/>
        <v>#VALUE!</v>
      </c>
      <c r="G378" t="e">
        <f t="shared" si="11"/>
        <v>#VALUE!</v>
      </c>
    </row>
    <row r="379" spans="1:7" hidden="1" x14ac:dyDescent="0.15">
      <c r="A379" t="s">
        <v>2411</v>
      </c>
      <c r="B379" s="15" t="str">
        <f>Screening!I379</f>
        <v>IQTR1961010851</v>
      </c>
      <c r="C379" t="str">
        <f>Screening!F379</f>
        <v>-</v>
      </c>
      <c r="D379">
        <f>Screening!L379</f>
        <v>105.33</v>
      </c>
      <c r="E379">
        <f>Screening!N379</f>
        <v>33.4</v>
      </c>
      <c r="F379" t="e">
        <f t="shared" si="10"/>
        <v>#VALUE!</v>
      </c>
      <c r="G379">
        <f t="shared" si="11"/>
        <v>0.31709864236210006</v>
      </c>
    </row>
    <row r="380" spans="1:7" hidden="1" x14ac:dyDescent="0.15">
      <c r="A380" t="s">
        <v>2412</v>
      </c>
      <c r="B380" s="15" t="str">
        <f>Screening!I380</f>
        <v>IQTR1787599312</v>
      </c>
      <c r="C380">
        <f>Screening!F380</f>
        <v>37.340000000000003</v>
      </c>
      <c r="D380">
        <f>Screening!L380</f>
        <v>104.24</v>
      </c>
      <c r="E380">
        <f>Screening!N380</f>
        <v>34.700000000000003</v>
      </c>
      <c r="F380" s="16">
        <f>C380/E380</f>
        <v>1.0760806916426513</v>
      </c>
      <c r="G380" s="16">
        <f>100*(E380/D380)</f>
        <v>33.28856485034536</v>
      </c>
    </row>
    <row r="381" spans="1:7" hidden="1" x14ac:dyDescent="0.15">
      <c r="A381" t="s">
        <v>2413</v>
      </c>
      <c r="B381" s="15" t="str">
        <f>Screening!I381</f>
        <v>IQTR1885569172</v>
      </c>
      <c r="C381">
        <f>Screening!F381</f>
        <v>95.76</v>
      </c>
      <c r="D381">
        <f>Screening!L381</f>
        <v>103.74</v>
      </c>
      <c r="E381" t="str">
        <f>Screening!N381</f>
        <v>-</v>
      </c>
      <c r="F381" t="e">
        <f t="shared" si="10"/>
        <v>#VALUE!</v>
      </c>
      <c r="G381" t="e">
        <f t="shared" si="11"/>
        <v>#VALUE!</v>
      </c>
    </row>
    <row r="382" spans="1:7" hidden="1" x14ac:dyDescent="0.15">
      <c r="A382" t="s">
        <v>2414</v>
      </c>
      <c r="B382" s="15" t="str">
        <f>Screening!I382</f>
        <v>IQTR1781536486</v>
      </c>
      <c r="C382" t="str">
        <f>Screening!F382</f>
        <v>-</v>
      </c>
      <c r="D382">
        <f>Screening!L382</f>
        <v>103.29</v>
      </c>
      <c r="E382" t="str">
        <f>Screening!N382</f>
        <v>-</v>
      </c>
      <c r="F382" t="e">
        <f t="shared" si="10"/>
        <v>#VALUE!</v>
      </c>
      <c r="G382" t="e">
        <f t="shared" si="11"/>
        <v>#VALUE!</v>
      </c>
    </row>
    <row r="383" spans="1:7" hidden="1" x14ac:dyDescent="0.15">
      <c r="A383" t="s">
        <v>2415</v>
      </c>
      <c r="B383" s="15" t="str">
        <f>Screening!I383</f>
        <v>IQTR1879413975</v>
      </c>
      <c r="C383">
        <f>Screening!F383</f>
        <v>258.38</v>
      </c>
      <c r="D383">
        <f>Screening!L383</f>
        <v>103.05</v>
      </c>
      <c r="E383" t="str">
        <f>Screening!N383</f>
        <v>-</v>
      </c>
      <c r="F383" t="e">
        <f t="shared" si="10"/>
        <v>#VALUE!</v>
      </c>
      <c r="G383" t="e">
        <f t="shared" si="11"/>
        <v>#VALUE!</v>
      </c>
    </row>
    <row r="384" spans="1:7" hidden="1" x14ac:dyDescent="0.15">
      <c r="A384" t="s">
        <v>2416</v>
      </c>
      <c r="B384" s="15" t="str">
        <f>Screening!I384</f>
        <v>IQTR1782101755</v>
      </c>
      <c r="C384">
        <f>Screening!F384</f>
        <v>1368.97</v>
      </c>
      <c r="D384">
        <f>Screening!L384</f>
        <v>103.03</v>
      </c>
      <c r="E384" t="str">
        <f>Screening!N384</f>
        <v>-</v>
      </c>
      <c r="F384" t="e">
        <f t="shared" si="10"/>
        <v>#VALUE!</v>
      </c>
      <c r="G384" t="e">
        <f t="shared" si="11"/>
        <v>#VALUE!</v>
      </c>
    </row>
    <row r="385" spans="1:7" hidden="1" x14ac:dyDescent="0.15">
      <c r="A385" t="s">
        <v>2417</v>
      </c>
      <c r="B385" s="15" t="str">
        <f>Screening!I385</f>
        <v>IQTR1857264151</v>
      </c>
      <c r="C385">
        <f>Screening!F385</f>
        <v>102.58</v>
      </c>
      <c r="D385">
        <f>Screening!L385</f>
        <v>102.62</v>
      </c>
      <c r="E385" t="str">
        <f>Screening!N385</f>
        <v>-</v>
      </c>
      <c r="F385" t="e">
        <f t="shared" si="10"/>
        <v>#VALUE!</v>
      </c>
      <c r="G385" t="e">
        <f t="shared" si="11"/>
        <v>#VALUE!</v>
      </c>
    </row>
    <row r="386" spans="1:7" hidden="1" x14ac:dyDescent="0.15">
      <c r="A386" t="s">
        <v>2418</v>
      </c>
      <c r="B386" s="15" t="str">
        <f>Screening!I386</f>
        <v>IQTR1918430905</v>
      </c>
      <c r="C386">
        <f>Screening!F386</f>
        <v>482.95</v>
      </c>
      <c r="D386">
        <f>Screening!L386</f>
        <v>102.4</v>
      </c>
      <c r="E386">
        <f>Screening!N386</f>
        <v>7.81</v>
      </c>
      <c r="F386" s="16">
        <f>C386/E386</f>
        <v>61.837387964148526</v>
      </c>
      <c r="G386" s="16">
        <f>100*(E386/D386)</f>
        <v>7.6269531249999991</v>
      </c>
    </row>
    <row r="387" spans="1:7" hidden="1" x14ac:dyDescent="0.15">
      <c r="A387" t="s">
        <v>2419</v>
      </c>
      <c r="B387" s="15" t="str">
        <f>Screening!I387</f>
        <v>IQTR1942578879</v>
      </c>
      <c r="C387" t="str">
        <f>Screening!F387</f>
        <v>-</v>
      </c>
      <c r="D387">
        <f>Screening!L387</f>
        <v>101.59</v>
      </c>
      <c r="E387">
        <f>Screening!N387</f>
        <v>-18.5</v>
      </c>
      <c r="F387" t="e">
        <f t="shared" ref="F387:F450" si="12">C387/E387</f>
        <v>#VALUE!</v>
      </c>
      <c r="G387">
        <f t="shared" ref="G387:G448" si="13">E387/D387</f>
        <v>-0.1821045378482134</v>
      </c>
    </row>
    <row r="388" spans="1:7" hidden="1" x14ac:dyDescent="0.15">
      <c r="A388" t="s">
        <v>2420</v>
      </c>
      <c r="B388" s="15" t="str">
        <f>Screening!I388</f>
        <v>IQTR1796783204</v>
      </c>
      <c r="C388">
        <f>Screening!F388</f>
        <v>746.74</v>
      </c>
      <c r="D388">
        <f>Screening!L388</f>
        <v>100.56</v>
      </c>
      <c r="E388" t="str">
        <f>Screening!N388</f>
        <v>-</v>
      </c>
      <c r="F388" t="e">
        <f t="shared" si="12"/>
        <v>#VALUE!</v>
      </c>
      <c r="G388" t="e">
        <f t="shared" si="13"/>
        <v>#VALUE!</v>
      </c>
    </row>
    <row r="389" spans="1:7" hidden="1" x14ac:dyDescent="0.15">
      <c r="A389" t="s">
        <v>2421</v>
      </c>
      <c r="B389" s="15" t="str">
        <f>Screening!I389</f>
        <v>IQTR1978963876</v>
      </c>
      <c r="C389">
        <f>Screening!F389</f>
        <v>290</v>
      </c>
      <c r="D389">
        <f>Screening!L389</f>
        <v>100</v>
      </c>
      <c r="E389" t="str">
        <f>Screening!N389</f>
        <v>-</v>
      </c>
      <c r="F389" t="e">
        <f t="shared" si="12"/>
        <v>#VALUE!</v>
      </c>
      <c r="G389" t="e">
        <f t="shared" si="13"/>
        <v>#VALUE!</v>
      </c>
    </row>
    <row r="390" spans="1:7" hidden="1" x14ac:dyDescent="0.15">
      <c r="A390" t="s">
        <v>2422</v>
      </c>
      <c r="B390" s="15" t="str">
        <f>Screening!I390</f>
        <v>IQTR1823055425</v>
      </c>
      <c r="C390">
        <f>Screening!F390</f>
        <v>850.99</v>
      </c>
      <c r="D390">
        <f>Screening!L390</f>
        <v>98.93</v>
      </c>
      <c r="E390" t="str">
        <f>Screening!N390</f>
        <v>-</v>
      </c>
      <c r="F390" t="e">
        <f t="shared" si="12"/>
        <v>#VALUE!</v>
      </c>
      <c r="G390" t="e">
        <f t="shared" si="13"/>
        <v>#VALUE!</v>
      </c>
    </row>
    <row r="391" spans="1:7" hidden="1" x14ac:dyDescent="0.15">
      <c r="A391" t="s">
        <v>2423</v>
      </c>
      <c r="B391" s="15" t="str">
        <f>Screening!I391</f>
        <v>IQTR1903663210</v>
      </c>
      <c r="C391">
        <f>Screening!F391</f>
        <v>23.09</v>
      </c>
      <c r="D391">
        <f>Screening!L391</f>
        <v>98.26</v>
      </c>
      <c r="E391">
        <f>Screening!N391</f>
        <v>16.600000000000001</v>
      </c>
      <c r="F391" s="16">
        <f t="shared" si="12"/>
        <v>1.3909638554216865</v>
      </c>
      <c r="G391" s="16">
        <f>100*(E391/D391)</f>
        <v>16.893954813759414</v>
      </c>
    </row>
    <row r="392" spans="1:7" hidden="1" x14ac:dyDescent="0.15">
      <c r="A392" t="s">
        <v>2424</v>
      </c>
      <c r="B392" s="15" t="str">
        <f>Screening!I392</f>
        <v>IQTR1787489906</v>
      </c>
      <c r="C392">
        <f>Screening!F392</f>
        <v>136.75</v>
      </c>
      <c r="D392">
        <f>Screening!L392</f>
        <v>97.75</v>
      </c>
      <c r="E392">
        <f>Screening!N392</f>
        <v>-11.7</v>
      </c>
      <c r="F392" s="16">
        <f t="shared" si="12"/>
        <v>-11.688034188034189</v>
      </c>
      <c r="G392" s="16">
        <f>100*(E392/D392)</f>
        <v>-11.9693094629156</v>
      </c>
    </row>
    <row r="393" spans="1:7" hidden="1" x14ac:dyDescent="0.15">
      <c r="A393" t="s">
        <v>2425</v>
      </c>
      <c r="B393" s="15" t="str">
        <f>Screening!I393</f>
        <v>IQTR1683584647</v>
      </c>
      <c r="C393">
        <f>Screening!F393</f>
        <v>83.99</v>
      </c>
      <c r="D393">
        <f>Screening!L393</f>
        <v>97.54</v>
      </c>
      <c r="E393" t="str">
        <f>Screening!N393</f>
        <v>-</v>
      </c>
      <c r="F393" t="e">
        <f t="shared" si="12"/>
        <v>#VALUE!</v>
      </c>
      <c r="G393" t="e">
        <f t="shared" si="13"/>
        <v>#VALUE!</v>
      </c>
    </row>
    <row r="394" spans="1:7" hidden="1" x14ac:dyDescent="0.15">
      <c r="A394" t="s">
        <v>2426</v>
      </c>
      <c r="B394" s="15" t="str">
        <f>Screening!I394</f>
        <v>IQTR1868073818</v>
      </c>
      <c r="C394">
        <f>Screening!F394</f>
        <v>841.94</v>
      </c>
      <c r="D394">
        <f>Screening!L394</f>
        <v>97.43</v>
      </c>
      <c r="E394" t="str">
        <f>Screening!N394</f>
        <v>-</v>
      </c>
      <c r="F394" t="e">
        <f t="shared" si="12"/>
        <v>#VALUE!</v>
      </c>
      <c r="G394" t="e">
        <f t="shared" si="13"/>
        <v>#VALUE!</v>
      </c>
    </row>
    <row r="395" spans="1:7" hidden="1" x14ac:dyDescent="0.15">
      <c r="A395" t="s">
        <v>2427</v>
      </c>
      <c r="B395" s="15" t="str">
        <f>Screening!I395</f>
        <v>IQTR1882478378</v>
      </c>
      <c r="C395">
        <f>Screening!F395</f>
        <v>20.85</v>
      </c>
      <c r="D395">
        <f>Screening!L395</f>
        <v>96.82</v>
      </c>
      <c r="E395">
        <f>Screening!N395</f>
        <v>-4.9400000000000004</v>
      </c>
      <c r="F395" s="16">
        <f t="shared" si="12"/>
        <v>-4.2206477732793521</v>
      </c>
      <c r="G395" s="16">
        <f>100*(E395/D395)</f>
        <v>-5.1022516009089038</v>
      </c>
    </row>
    <row r="396" spans="1:7" hidden="1" x14ac:dyDescent="0.15">
      <c r="A396" t="s">
        <v>2428</v>
      </c>
      <c r="B396" s="15" t="str">
        <f>Screening!I396</f>
        <v>IQTR1955836407</v>
      </c>
      <c r="C396">
        <f>Screening!F396</f>
        <v>430</v>
      </c>
      <c r="D396">
        <f>Screening!L396</f>
        <v>96.05</v>
      </c>
      <c r="E396">
        <f>Screening!N396</f>
        <v>18.2</v>
      </c>
      <c r="F396" s="16">
        <f t="shared" si="12"/>
        <v>23.626373626373628</v>
      </c>
      <c r="G396" s="16">
        <f>100*(E396/D396)</f>
        <v>18.948464341488808</v>
      </c>
    </row>
    <row r="397" spans="1:7" hidden="1" x14ac:dyDescent="0.15">
      <c r="A397" t="s">
        <v>2429</v>
      </c>
      <c r="B397" s="15" t="str">
        <f>Screening!I397</f>
        <v>IQTR1903669784</v>
      </c>
      <c r="C397">
        <f>Screening!F397</f>
        <v>110</v>
      </c>
      <c r="D397">
        <f>Screening!L397</f>
        <v>96</v>
      </c>
      <c r="E397" t="str">
        <f>Screening!N397</f>
        <v>-</v>
      </c>
      <c r="F397" t="e">
        <f t="shared" si="12"/>
        <v>#VALUE!</v>
      </c>
      <c r="G397" t="e">
        <f t="shared" si="13"/>
        <v>#VALUE!</v>
      </c>
    </row>
    <row r="398" spans="1:7" hidden="1" x14ac:dyDescent="0.15">
      <c r="A398" t="s">
        <v>2430</v>
      </c>
      <c r="B398" s="15" t="str">
        <f>Screening!I398</f>
        <v>IQTR1992812351</v>
      </c>
      <c r="C398" t="str">
        <f>Screening!F398</f>
        <v>-</v>
      </c>
      <c r="D398">
        <f>Screening!L398</f>
        <v>95.9</v>
      </c>
      <c r="E398" t="str">
        <f>Screening!N398</f>
        <v>-</v>
      </c>
      <c r="F398" t="e">
        <f t="shared" si="12"/>
        <v>#VALUE!</v>
      </c>
      <c r="G398" t="e">
        <f t="shared" si="13"/>
        <v>#VALUE!</v>
      </c>
    </row>
    <row r="399" spans="1:7" hidden="1" x14ac:dyDescent="0.15">
      <c r="A399" t="s">
        <v>2431</v>
      </c>
      <c r="B399" s="15" t="str">
        <f>Screening!I399</f>
        <v>IQTR1901853830</v>
      </c>
      <c r="C399">
        <f>Screening!F399</f>
        <v>1931.17</v>
      </c>
      <c r="D399">
        <f>Screening!L399</f>
        <v>94.61</v>
      </c>
      <c r="E399" t="str">
        <f>Screening!N399</f>
        <v>-</v>
      </c>
      <c r="F399" t="e">
        <f t="shared" si="12"/>
        <v>#VALUE!</v>
      </c>
      <c r="G399" t="e">
        <f t="shared" si="13"/>
        <v>#VALUE!</v>
      </c>
    </row>
    <row r="400" spans="1:7" hidden="1" x14ac:dyDescent="0.15">
      <c r="A400" t="s">
        <v>2432</v>
      </c>
      <c r="B400" s="15" t="str">
        <f>Screening!I400</f>
        <v>IQTR1956358173</v>
      </c>
      <c r="C400">
        <f>Screening!F400</f>
        <v>1883.89</v>
      </c>
      <c r="D400">
        <f>Screening!L400</f>
        <v>93.98</v>
      </c>
      <c r="E400">
        <f>Screening!N400</f>
        <v>-120.7</v>
      </c>
      <c r="F400" s="16">
        <f>C400/E400</f>
        <v>-15.608036454018228</v>
      </c>
      <c r="G400" s="16">
        <f>100*(E400/D400)</f>
        <v>-128.4315811874867</v>
      </c>
    </row>
    <row r="401" spans="1:7" hidden="1" x14ac:dyDescent="0.15">
      <c r="A401" t="s">
        <v>2433</v>
      </c>
      <c r="B401" s="15" t="str">
        <f>Screening!I401</f>
        <v>IQTR1793396281</v>
      </c>
      <c r="C401">
        <f>Screening!F401</f>
        <v>192.52</v>
      </c>
      <c r="D401">
        <f>Screening!L401</f>
        <v>93.87</v>
      </c>
      <c r="E401" t="str">
        <f>Screening!N401</f>
        <v>-</v>
      </c>
      <c r="F401" t="e">
        <f t="shared" si="12"/>
        <v>#VALUE!</v>
      </c>
      <c r="G401" t="e">
        <f t="shared" si="13"/>
        <v>#VALUE!</v>
      </c>
    </row>
    <row r="402" spans="1:7" hidden="1" x14ac:dyDescent="0.15">
      <c r="A402" t="s">
        <v>2434</v>
      </c>
      <c r="B402" s="15" t="str">
        <f>Screening!I402</f>
        <v>IQTR1793382297</v>
      </c>
      <c r="C402" t="str">
        <f>Screening!F402</f>
        <v>-</v>
      </c>
      <c r="D402">
        <f>Screening!L402</f>
        <v>93.87</v>
      </c>
      <c r="E402" t="str">
        <f>Screening!N402</f>
        <v>-</v>
      </c>
      <c r="F402" t="e">
        <f t="shared" si="12"/>
        <v>#VALUE!</v>
      </c>
      <c r="G402" t="e">
        <f t="shared" si="13"/>
        <v>#VALUE!</v>
      </c>
    </row>
    <row r="403" spans="1:7" hidden="1" x14ac:dyDescent="0.15">
      <c r="A403" t="s">
        <v>2435</v>
      </c>
      <c r="B403" s="15" t="str">
        <f>Screening!I403</f>
        <v>IQTR1765445051</v>
      </c>
      <c r="C403" t="str">
        <f>Screening!F403</f>
        <v>-</v>
      </c>
      <c r="D403">
        <f>Screening!L403</f>
        <v>92.47</v>
      </c>
      <c r="E403" t="str">
        <f>Screening!N403</f>
        <v>-</v>
      </c>
      <c r="F403" t="e">
        <f t="shared" si="12"/>
        <v>#VALUE!</v>
      </c>
      <c r="G403" t="e">
        <f t="shared" si="13"/>
        <v>#VALUE!</v>
      </c>
    </row>
    <row r="404" spans="1:7" hidden="1" x14ac:dyDescent="0.15">
      <c r="A404" t="s">
        <v>2436</v>
      </c>
      <c r="B404" s="15" t="str">
        <f>Screening!I404</f>
        <v>IQTR1762643551</v>
      </c>
      <c r="C404" t="str">
        <f>Screening!F404</f>
        <v>-</v>
      </c>
      <c r="D404">
        <f>Screening!L404</f>
        <v>92.47</v>
      </c>
      <c r="E404" t="str">
        <f>Screening!N404</f>
        <v>-</v>
      </c>
      <c r="F404" t="e">
        <f t="shared" si="12"/>
        <v>#VALUE!</v>
      </c>
      <c r="G404" t="e">
        <f t="shared" si="13"/>
        <v>#VALUE!</v>
      </c>
    </row>
    <row r="405" spans="1:7" hidden="1" x14ac:dyDescent="0.15">
      <c r="A405" t="s">
        <v>2437</v>
      </c>
      <c r="B405" s="15" t="str">
        <f>Screening!I405</f>
        <v>IQTR1875185684</v>
      </c>
      <c r="C405">
        <f>Screening!F405</f>
        <v>46.8</v>
      </c>
      <c r="D405">
        <f>Screening!L405</f>
        <v>91.41</v>
      </c>
      <c r="E405">
        <f>Screening!N405</f>
        <v>8.3800000000000008</v>
      </c>
      <c r="F405" s="16">
        <f t="shared" si="12"/>
        <v>5.5847255369928392</v>
      </c>
      <c r="G405" s="16">
        <f>100*(E405/D405)</f>
        <v>9.167487145826497</v>
      </c>
    </row>
    <row r="406" spans="1:7" hidden="1" x14ac:dyDescent="0.15">
      <c r="A406" t="s">
        <v>2438</v>
      </c>
      <c r="B406" s="15" t="str">
        <f>Screening!I406</f>
        <v>IQTR1878463109</v>
      </c>
      <c r="C406">
        <f>Screening!F406</f>
        <v>45.53</v>
      </c>
      <c r="D406">
        <f>Screening!L406</f>
        <v>91.35</v>
      </c>
      <c r="E406">
        <f>Screening!N406</f>
        <v>-49.4</v>
      </c>
      <c r="F406" s="16">
        <f t="shared" si="12"/>
        <v>-0.9216599190283401</v>
      </c>
      <c r="G406" s="16">
        <f>100*(E406/D406)</f>
        <v>-54.07772304324029</v>
      </c>
    </row>
    <row r="407" spans="1:7" hidden="1" x14ac:dyDescent="0.15">
      <c r="A407" t="s">
        <v>2439</v>
      </c>
      <c r="B407" s="15" t="str">
        <f>Screening!I407</f>
        <v>IQTR1887264869</v>
      </c>
      <c r="C407">
        <f>Screening!F407</f>
        <v>216.52</v>
      </c>
      <c r="D407">
        <f>Screening!L407</f>
        <v>90.07</v>
      </c>
      <c r="E407">
        <f>Screening!N407</f>
        <v>0.82299999999999995</v>
      </c>
      <c r="F407" s="16">
        <f t="shared" si="12"/>
        <v>263.08626974483599</v>
      </c>
      <c r="G407" s="16">
        <f>100*(E407/D407)</f>
        <v>0.91373376262906625</v>
      </c>
    </row>
    <row r="408" spans="1:7" hidden="1" x14ac:dyDescent="0.15">
      <c r="A408" t="s">
        <v>2440</v>
      </c>
      <c r="B408" s="15" t="str">
        <f>Screening!I408</f>
        <v>IQTR1983628659</v>
      </c>
      <c r="C408">
        <f>Screening!F408</f>
        <v>230</v>
      </c>
      <c r="D408">
        <f>Screening!L408</f>
        <v>90</v>
      </c>
      <c r="E408" t="str">
        <f>Screening!N408</f>
        <v>-</v>
      </c>
      <c r="F408" t="e">
        <f t="shared" si="12"/>
        <v>#VALUE!</v>
      </c>
      <c r="G408" t="e">
        <f t="shared" si="13"/>
        <v>#VALUE!</v>
      </c>
    </row>
    <row r="409" spans="1:7" hidden="1" x14ac:dyDescent="0.15">
      <c r="A409" t="s">
        <v>2441</v>
      </c>
      <c r="B409" s="15" t="str">
        <f>Screening!I409</f>
        <v>IQTR1873519208</v>
      </c>
      <c r="C409">
        <f>Screening!F409</f>
        <v>1270.4000000000001</v>
      </c>
      <c r="D409">
        <f>Screening!L409</f>
        <v>90</v>
      </c>
      <c r="E409" t="str">
        <f>Screening!N409</f>
        <v>-</v>
      </c>
      <c r="F409" t="e">
        <f t="shared" si="12"/>
        <v>#VALUE!</v>
      </c>
      <c r="G409" t="e">
        <f t="shared" si="13"/>
        <v>#VALUE!</v>
      </c>
    </row>
    <row r="410" spans="1:7" hidden="1" x14ac:dyDescent="0.15">
      <c r="A410" t="s">
        <v>2442</v>
      </c>
      <c r="B410" s="15" t="str">
        <f>Screening!I410</f>
        <v>IQTR2000101216</v>
      </c>
      <c r="C410" t="str">
        <f>Screening!F410</f>
        <v>-</v>
      </c>
      <c r="D410">
        <f>Screening!L410</f>
        <v>89.14</v>
      </c>
      <c r="E410">
        <f>Screening!N410</f>
        <v>9.08</v>
      </c>
      <c r="F410" t="e">
        <f t="shared" si="12"/>
        <v>#VALUE!</v>
      </c>
      <c r="G410">
        <f t="shared" si="13"/>
        <v>0.10186223917433251</v>
      </c>
    </row>
    <row r="411" spans="1:7" hidden="1" x14ac:dyDescent="0.15">
      <c r="A411" t="s">
        <v>2443</v>
      </c>
      <c r="B411" s="15" t="str">
        <f>Screening!I411</f>
        <v>IQTR1881209438</v>
      </c>
      <c r="C411">
        <f>Screening!F411</f>
        <v>30.71</v>
      </c>
      <c r="D411">
        <f>Screening!L411</f>
        <v>88.82</v>
      </c>
      <c r="E411" t="str">
        <f>Screening!N411</f>
        <v>-</v>
      </c>
      <c r="F411" t="e">
        <f t="shared" si="12"/>
        <v>#VALUE!</v>
      </c>
      <c r="G411" t="e">
        <f t="shared" si="13"/>
        <v>#VALUE!</v>
      </c>
    </row>
    <row r="412" spans="1:7" hidden="1" x14ac:dyDescent="0.15">
      <c r="A412" t="s">
        <v>2444</v>
      </c>
      <c r="B412" s="15" t="str">
        <f>Screening!I412</f>
        <v>IQTR1862036455</v>
      </c>
      <c r="C412">
        <f>Screening!F412</f>
        <v>45.45</v>
      </c>
      <c r="D412">
        <f>Screening!L412</f>
        <v>88.69</v>
      </c>
      <c r="E412" t="str">
        <f>Screening!N412</f>
        <v>-</v>
      </c>
      <c r="F412" t="e">
        <f t="shared" si="12"/>
        <v>#VALUE!</v>
      </c>
      <c r="G412" t="e">
        <f t="shared" si="13"/>
        <v>#VALUE!</v>
      </c>
    </row>
    <row r="413" spans="1:7" hidden="1" x14ac:dyDescent="0.15">
      <c r="A413" t="s">
        <v>2445</v>
      </c>
      <c r="B413" s="15" t="str">
        <f>Screening!I413</f>
        <v>IQTR1686055260</v>
      </c>
      <c r="C413">
        <f>Screening!F413</f>
        <v>289.51</v>
      </c>
      <c r="D413">
        <f>Screening!L413</f>
        <v>88.56</v>
      </c>
      <c r="E413" t="str">
        <f>Screening!N413</f>
        <v>-</v>
      </c>
      <c r="F413" t="e">
        <f t="shared" si="12"/>
        <v>#VALUE!</v>
      </c>
      <c r="G413" t="e">
        <f t="shared" si="13"/>
        <v>#VALUE!</v>
      </c>
    </row>
    <row r="414" spans="1:7" hidden="1" x14ac:dyDescent="0.15">
      <c r="A414" t="s">
        <v>2446</v>
      </c>
      <c r="B414" s="15" t="str">
        <f>Screening!I414</f>
        <v>IQTR1775662190</v>
      </c>
      <c r="C414" t="str">
        <f>Screening!F414</f>
        <v>-</v>
      </c>
      <c r="D414">
        <f>Screening!L414</f>
        <v>88.47</v>
      </c>
      <c r="E414">
        <f>Screening!N414</f>
        <v>-6.13</v>
      </c>
      <c r="F414" t="e">
        <f t="shared" si="12"/>
        <v>#VALUE!</v>
      </c>
      <c r="G414">
        <f t="shared" si="13"/>
        <v>-6.9289024528088619E-2</v>
      </c>
    </row>
    <row r="415" spans="1:7" x14ac:dyDescent="0.15">
      <c r="A415" t="s">
        <v>2447</v>
      </c>
      <c r="B415" s="15" t="str">
        <f>Screening!I415</f>
        <v>IQTR1930066296</v>
      </c>
      <c r="C415">
        <f>Screening!F415</f>
        <v>139.46</v>
      </c>
      <c r="D415">
        <f>Screening!L415</f>
        <v>88.23</v>
      </c>
      <c r="E415">
        <f>Screening!N415</f>
        <v>12.2</v>
      </c>
      <c r="F415" s="16">
        <f t="shared" si="12"/>
        <v>11.431147540983607</v>
      </c>
      <c r="G415" s="16">
        <f>100*(E415/D415)</f>
        <v>13.827496316445654</v>
      </c>
    </row>
    <row r="416" spans="1:7" hidden="1" x14ac:dyDescent="0.15">
      <c r="A416" t="s">
        <v>2448</v>
      </c>
      <c r="B416" s="15" t="str">
        <f>Screening!I416</f>
        <v>IQTR1931575848</v>
      </c>
      <c r="C416">
        <f>Screening!F416</f>
        <v>5.21</v>
      </c>
      <c r="D416">
        <f>Screening!L416</f>
        <v>88.1</v>
      </c>
      <c r="E416">
        <f>Screening!N416</f>
        <v>-3.38</v>
      </c>
      <c r="F416" s="16">
        <f t="shared" si="12"/>
        <v>-1.5414201183431953</v>
      </c>
      <c r="G416" s="16">
        <f>100*(E416/D416)</f>
        <v>-3.8365493757094216</v>
      </c>
    </row>
    <row r="417" spans="1:7" hidden="1" x14ac:dyDescent="0.15">
      <c r="A417" t="s">
        <v>2449</v>
      </c>
      <c r="B417" s="15" t="str">
        <f>Screening!I417</f>
        <v>IQTR1776598444</v>
      </c>
      <c r="C417">
        <f>Screening!F417</f>
        <v>64</v>
      </c>
      <c r="D417">
        <f>Screening!L417</f>
        <v>88.07</v>
      </c>
      <c r="E417" t="str">
        <f>Screening!N417</f>
        <v>-</v>
      </c>
      <c r="F417" t="e">
        <f t="shared" si="12"/>
        <v>#VALUE!</v>
      </c>
      <c r="G417" t="e">
        <f t="shared" si="13"/>
        <v>#VALUE!</v>
      </c>
    </row>
    <row r="418" spans="1:7" hidden="1" x14ac:dyDescent="0.15">
      <c r="A418" t="s">
        <v>2450</v>
      </c>
      <c r="B418" s="15" t="str">
        <f>Screening!I418</f>
        <v>IQTR1760677099</v>
      </c>
      <c r="C418">
        <f>Screening!F418</f>
        <v>35</v>
      </c>
      <c r="D418">
        <f>Screening!L418</f>
        <v>88</v>
      </c>
      <c r="E418" t="str">
        <f>Screening!N418</f>
        <v>-</v>
      </c>
      <c r="F418" t="e">
        <f t="shared" si="12"/>
        <v>#VALUE!</v>
      </c>
      <c r="G418" t="e">
        <f t="shared" si="13"/>
        <v>#VALUE!</v>
      </c>
    </row>
    <row r="419" spans="1:7" hidden="1" x14ac:dyDescent="0.15">
      <c r="A419" t="s">
        <v>2451</v>
      </c>
      <c r="B419" s="15" t="str">
        <f>Screening!I419</f>
        <v>IQTR1899716376</v>
      </c>
      <c r="C419">
        <f>Screening!F419</f>
        <v>364.51</v>
      </c>
      <c r="D419">
        <f>Screening!L419</f>
        <v>87.89</v>
      </c>
      <c r="E419" t="str">
        <f>Screening!N419</f>
        <v>-</v>
      </c>
      <c r="F419" t="e">
        <f t="shared" si="12"/>
        <v>#VALUE!</v>
      </c>
      <c r="G419" t="e">
        <f t="shared" si="13"/>
        <v>#VALUE!</v>
      </c>
    </row>
    <row r="420" spans="1:7" hidden="1" x14ac:dyDescent="0.15">
      <c r="A420" t="s">
        <v>2452</v>
      </c>
      <c r="B420" s="15" t="str">
        <f>Screening!I420</f>
        <v>IQTR1843130432</v>
      </c>
      <c r="C420">
        <f>Screening!F420</f>
        <v>158.97</v>
      </c>
      <c r="D420">
        <f>Screening!L420</f>
        <v>87.87</v>
      </c>
      <c r="E420" t="str">
        <f>Screening!N420</f>
        <v>-</v>
      </c>
      <c r="F420" t="e">
        <f t="shared" si="12"/>
        <v>#VALUE!</v>
      </c>
      <c r="G420" t="e">
        <f t="shared" si="13"/>
        <v>#VALUE!</v>
      </c>
    </row>
    <row r="421" spans="1:7" hidden="1" x14ac:dyDescent="0.15">
      <c r="A421" t="s">
        <v>2453</v>
      </c>
      <c r="B421" s="15" t="str">
        <f>Screening!I421</f>
        <v>IQTR1981937796</v>
      </c>
      <c r="C421">
        <f>Screening!F421</f>
        <v>719.62</v>
      </c>
      <c r="D421">
        <f>Screening!L421</f>
        <v>87.66</v>
      </c>
      <c r="E421">
        <f>Screening!N421</f>
        <v>-3.27</v>
      </c>
      <c r="F421" s="16">
        <f t="shared" si="12"/>
        <v>-220.06727828746176</v>
      </c>
      <c r="G421" s="16">
        <f>100*(E421/D421)</f>
        <v>-3.7303216974674882</v>
      </c>
    </row>
    <row r="422" spans="1:7" hidden="1" x14ac:dyDescent="0.15">
      <c r="A422" t="s">
        <v>2454</v>
      </c>
      <c r="B422" s="15" t="str">
        <f>Screening!I422</f>
        <v>IQTR1888508443</v>
      </c>
      <c r="C422">
        <f>Screening!F422</f>
        <v>57.76</v>
      </c>
      <c r="D422">
        <f>Screening!L422</f>
        <v>86.79</v>
      </c>
      <c r="E422">
        <f>Screening!N422</f>
        <v>7.7</v>
      </c>
      <c r="F422" s="16">
        <f t="shared" si="12"/>
        <v>7.5012987012987011</v>
      </c>
      <c r="G422" s="16">
        <f>100*(E422/D422)</f>
        <v>8.8719898605830156</v>
      </c>
    </row>
    <row r="423" spans="1:7" hidden="1" x14ac:dyDescent="0.15">
      <c r="A423" t="s">
        <v>2455</v>
      </c>
      <c r="B423" s="15" t="str">
        <f>Screening!I423</f>
        <v>IQTR1784687409</v>
      </c>
      <c r="C423">
        <f>Screening!F423</f>
        <v>489.89</v>
      </c>
      <c r="D423">
        <f>Screening!L423</f>
        <v>86.75</v>
      </c>
      <c r="E423" t="str">
        <f>Screening!N423</f>
        <v>-</v>
      </c>
      <c r="F423" t="e">
        <f t="shared" si="12"/>
        <v>#VALUE!</v>
      </c>
      <c r="G423" t="e">
        <f t="shared" si="13"/>
        <v>#VALUE!</v>
      </c>
    </row>
    <row r="424" spans="1:7" hidden="1" x14ac:dyDescent="0.15">
      <c r="A424" t="s">
        <v>2456</v>
      </c>
      <c r="B424" s="15" t="str">
        <f>Screening!I424</f>
        <v>IQTR1847295975</v>
      </c>
      <c r="C424">
        <f>Screening!F424</f>
        <v>37.39</v>
      </c>
      <c r="D424">
        <f>Screening!L424</f>
        <v>86.14</v>
      </c>
      <c r="E424">
        <f>Screening!N424</f>
        <v>-38.4</v>
      </c>
      <c r="F424" s="16">
        <f>C424/E424</f>
        <v>-0.97369791666666672</v>
      </c>
      <c r="G424" s="16">
        <f>100*(E424/D424)</f>
        <v>-44.57859298815881</v>
      </c>
    </row>
    <row r="425" spans="1:7" hidden="1" x14ac:dyDescent="0.15">
      <c r="A425" t="s">
        <v>2457</v>
      </c>
      <c r="B425" s="15" t="str">
        <f>Screening!I425</f>
        <v>IQTR1891982970</v>
      </c>
      <c r="C425">
        <f>Screening!F425</f>
        <v>219.84</v>
      </c>
      <c r="D425">
        <f>Screening!L425</f>
        <v>86.09</v>
      </c>
      <c r="E425" t="str">
        <f>Screening!N425</f>
        <v>-</v>
      </c>
      <c r="F425" t="e">
        <f t="shared" si="12"/>
        <v>#VALUE!</v>
      </c>
      <c r="G425" t="e">
        <f t="shared" si="13"/>
        <v>#VALUE!</v>
      </c>
    </row>
    <row r="426" spans="1:7" hidden="1" x14ac:dyDescent="0.15">
      <c r="A426" t="s">
        <v>2458</v>
      </c>
      <c r="B426" s="15" t="str">
        <f>Screening!I426</f>
        <v>IQTR1902215079</v>
      </c>
      <c r="C426">
        <f>Screening!F426</f>
        <v>77.03</v>
      </c>
      <c r="D426">
        <f>Screening!L426</f>
        <v>85</v>
      </c>
      <c r="E426" t="str">
        <f>Screening!N426</f>
        <v>-</v>
      </c>
      <c r="F426" t="e">
        <f t="shared" si="12"/>
        <v>#VALUE!</v>
      </c>
      <c r="G426" t="e">
        <f t="shared" si="13"/>
        <v>#VALUE!</v>
      </c>
    </row>
    <row r="427" spans="1:7" hidden="1" x14ac:dyDescent="0.15">
      <c r="A427" t="s">
        <v>2459</v>
      </c>
      <c r="B427" s="15" t="str">
        <f>Screening!I427</f>
        <v>IQTR1803441535</v>
      </c>
      <c r="C427">
        <f>Screening!F427</f>
        <v>44.39</v>
      </c>
      <c r="D427">
        <f>Screening!L427</f>
        <v>84.63</v>
      </c>
      <c r="E427">
        <f>Screening!N427</f>
        <v>20.7</v>
      </c>
      <c r="F427" s="16">
        <f t="shared" si="12"/>
        <v>2.1444444444444444</v>
      </c>
      <c r="G427" s="16">
        <f>100*(E427/D427)</f>
        <v>24.459411556185749</v>
      </c>
    </row>
    <row r="428" spans="1:7" hidden="1" x14ac:dyDescent="0.15">
      <c r="A428" t="s">
        <v>2460</v>
      </c>
      <c r="B428" s="15" t="str">
        <f>Screening!I428</f>
        <v>IQTR1980094456</v>
      </c>
      <c r="C428">
        <f>Screening!F428</f>
        <v>51.7</v>
      </c>
      <c r="D428">
        <f>Screening!L428</f>
        <v>84.32</v>
      </c>
      <c r="E428">
        <f>Screening!N428</f>
        <v>-6.93</v>
      </c>
      <c r="F428" s="16">
        <f t="shared" si="12"/>
        <v>-7.4603174603174613</v>
      </c>
      <c r="G428" s="16">
        <f>100*(E428/D428)</f>
        <v>-8.2186907020872866</v>
      </c>
    </row>
    <row r="429" spans="1:7" hidden="1" x14ac:dyDescent="0.15">
      <c r="A429" t="s">
        <v>2461</v>
      </c>
      <c r="B429" s="15" t="str">
        <f>Screening!I429</f>
        <v>IQTR1788614531</v>
      </c>
      <c r="C429" t="str">
        <f>Screening!F429</f>
        <v>-</v>
      </c>
      <c r="D429">
        <f>Screening!L429</f>
        <v>84.2</v>
      </c>
      <c r="E429">
        <f>Screening!N429</f>
        <v>4.82</v>
      </c>
      <c r="F429" t="e">
        <f t="shared" si="12"/>
        <v>#VALUE!</v>
      </c>
      <c r="G429">
        <f t="shared" si="13"/>
        <v>5.7244655581947745E-2</v>
      </c>
    </row>
    <row r="430" spans="1:7" x14ac:dyDescent="0.15">
      <c r="A430" t="s">
        <v>2462</v>
      </c>
      <c r="B430" s="15" t="str">
        <f>Screening!I430</f>
        <v>IQTR1851018409</v>
      </c>
      <c r="C430">
        <f>Screening!F430</f>
        <v>90.34</v>
      </c>
      <c r="D430">
        <f>Screening!L430</f>
        <v>83.93</v>
      </c>
      <c r="E430">
        <f>Screening!N430</f>
        <v>8.4</v>
      </c>
      <c r="F430" s="16">
        <f>C430/E430</f>
        <v>10.754761904761905</v>
      </c>
      <c r="G430" s="16">
        <f>100*(E430/D430)</f>
        <v>10.008340283569641</v>
      </c>
    </row>
    <row r="431" spans="1:7" hidden="1" x14ac:dyDescent="0.15">
      <c r="A431" t="s">
        <v>2463</v>
      </c>
      <c r="B431" s="15" t="str">
        <f>Screening!I431</f>
        <v>IQTR1858812833</v>
      </c>
      <c r="C431">
        <f>Screening!F431</f>
        <v>171.49</v>
      </c>
      <c r="D431">
        <f>Screening!L431</f>
        <v>83.34</v>
      </c>
      <c r="E431" t="str">
        <f>Screening!N431</f>
        <v>-</v>
      </c>
      <c r="F431" t="e">
        <f t="shared" si="12"/>
        <v>#VALUE!</v>
      </c>
      <c r="G431" t="e">
        <f t="shared" si="13"/>
        <v>#VALUE!</v>
      </c>
    </row>
    <row r="432" spans="1:7" hidden="1" x14ac:dyDescent="0.15">
      <c r="A432" t="s">
        <v>2464</v>
      </c>
      <c r="B432" s="15" t="str">
        <f>Screening!I432</f>
        <v>IQTR1954970313</v>
      </c>
      <c r="C432">
        <f>Screening!F432</f>
        <v>93.46</v>
      </c>
      <c r="D432">
        <f>Screening!L432</f>
        <v>83.1</v>
      </c>
      <c r="E432" t="str">
        <f>Screening!N432</f>
        <v>-</v>
      </c>
      <c r="F432" t="e">
        <f t="shared" si="12"/>
        <v>#VALUE!</v>
      </c>
      <c r="G432" t="e">
        <f t="shared" si="13"/>
        <v>#VALUE!</v>
      </c>
    </row>
    <row r="433" spans="1:7" hidden="1" x14ac:dyDescent="0.15">
      <c r="A433" t="s">
        <v>2465</v>
      </c>
      <c r="B433" s="15" t="str">
        <f>Screening!I433</f>
        <v>IQTR1800549462</v>
      </c>
      <c r="C433">
        <f>Screening!F433</f>
        <v>17.100000000000001</v>
      </c>
      <c r="D433">
        <f>Screening!L433</f>
        <v>82.92</v>
      </c>
      <c r="E433">
        <f>Screening!N433</f>
        <v>-3.77</v>
      </c>
      <c r="F433" s="16">
        <f t="shared" si="12"/>
        <v>-4.5358090185676394</v>
      </c>
      <c r="G433" s="16">
        <f>100*(E433/D433)</f>
        <v>-4.5465508924264348</v>
      </c>
    </row>
    <row r="434" spans="1:7" hidden="1" x14ac:dyDescent="0.15">
      <c r="A434" t="s">
        <v>2466</v>
      </c>
      <c r="B434" s="15" t="str">
        <f>Screening!I434</f>
        <v>IQTR1993170241</v>
      </c>
      <c r="C434">
        <f>Screening!F434</f>
        <v>50.91</v>
      </c>
      <c r="D434">
        <f>Screening!L434</f>
        <v>82.88</v>
      </c>
      <c r="E434">
        <f>Screening!N434</f>
        <v>2.95</v>
      </c>
      <c r="F434" s="16">
        <f t="shared" si="12"/>
        <v>17.257627118644066</v>
      </c>
      <c r="G434" s="16">
        <f>100*(E434/D434)</f>
        <v>3.5593629343629347</v>
      </c>
    </row>
    <row r="435" spans="1:7" hidden="1" x14ac:dyDescent="0.15">
      <c r="A435" t="s">
        <v>2467</v>
      </c>
      <c r="B435" s="15" t="str">
        <f>Screening!I435</f>
        <v>IQTR1826906590</v>
      </c>
      <c r="C435" t="str">
        <f>Screening!F435</f>
        <v>-</v>
      </c>
      <c r="D435">
        <f>Screening!L435</f>
        <v>81.61</v>
      </c>
      <c r="E435" t="str">
        <f>Screening!N435</f>
        <v>-</v>
      </c>
      <c r="F435" t="e">
        <f t="shared" si="12"/>
        <v>#VALUE!</v>
      </c>
      <c r="G435" t="e">
        <f t="shared" si="13"/>
        <v>#VALUE!</v>
      </c>
    </row>
    <row r="436" spans="1:7" hidden="1" x14ac:dyDescent="0.15">
      <c r="A436" t="s">
        <v>2468</v>
      </c>
      <c r="B436" s="15" t="str">
        <f>Screening!I436</f>
        <v>IQTR1819408901</v>
      </c>
      <c r="C436">
        <f>Screening!F436</f>
        <v>58.8</v>
      </c>
      <c r="D436">
        <f>Screening!L436</f>
        <v>81.599999999999994</v>
      </c>
      <c r="E436" t="str">
        <f>Screening!N436</f>
        <v>-</v>
      </c>
      <c r="F436" t="e">
        <f t="shared" si="12"/>
        <v>#VALUE!</v>
      </c>
      <c r="G436" t="e">
        <f t="shared" si="13"/>
        <v>#VALUE!</v>
      </c>
    </row>
    <row r="437" spans="1:7" hidden="1" x14ac:dyDescent="0.15">
      <c r="A437" t="s">
        <v>2469</v>
      </c>
      <c r="B437" s="15" t="str">
        <f>Screening!I437</f>
        <v>IQTR1772393730</v>
      </c>
      <c r="C437" t="str">
        <f>Screening!F437</f>
        <v>-</v>
      </c>
      <c r="D437">
        <f>Screening!L437</f>
        <v>81.599999999999994</v>
      </c>
      <c r="E437">
        <f>Screening!N437</f>
        <v>0.98599999999999999</v>
      </c>
      <c r="F437" t="e">
        <f t="shared" si="12"/>
        <v>#VALUE!</v>
      </c>
      <c r="G437">
        <f t="shared" si="13"/>
        <v>1.2083333333333335E-2</v>
      </c>
    </row>
    <row r="438" spans="1:7" hidden="1" x14ac:dyDescent="0.15">
      <c r="A438" t="s">
        <v>2470</v>
      </c>
      <c r="B438" s="15" t="str">
        <f>Screening!I438</f>
        <v>IQTR2000948165</v>
      </c>
      <c r="C438" t="str">
        <f>Screening!F438</f>
        <v>-</v>
      </c>
      <c r="D438">
        <f>Screening!L438</f>
        <v>81.209999999999994</v>
      </c>
      <c r="E438" t="str">
        <f>Screening!N438</f>
        <v>-</v>
      </c>
      <c r="F438" t="e">
        <f t="shared" si="12"/>
        <v>#VALUE!</v>
      </c>
      <c r="G438" t="e">
        <f t="shared" si="13"/>
        <v>#VALUE!</v>
      </c>
    </row>
    <row r="439" spans="1:7" x14ac:dyDescent="0.15">
      <c r="A439" t="s">
        <v>2471</v>
      </c>
      <c r="B439" s="15" t="str">
        <f>Screening!I439</f>
        <v>IQTR1762763280</v>
      </c>
      <c r="C439">
        <f>Screening!F439</f>
        <v>538.64</v>
      </c>
      <c r="D439">
        <f>Screening!L439</f>
        <v>81.040000000000006</v>
      </c>
      <c r="E439">
        <f>Screening!N439</f>
        <v>36.200000000000003</v>
      </c>
      <c r="F439" s="16">
        <f t="shared" si="12"/>
        <v>14.879558011049722</v>
      </c>
      <c r="G439" s="16">
        <f>100*(E439/D439)</f>
        <v>44.669299111549854</v>
      </c>
    </row>
    <row r="440" spans="1:7" hidden="1" x14ac:dyDescent="0.15">
      <c r="A440" t="s">
        <v>2472</v>
      </c>
      <c r="B440" s="15" t="str">
        <f>Screening!I440</f>
        <v>IQTR1791742674</v>
      </c>
      <c r="C440">
        <f>Screening!F440</f>
        <v>14.99</v>
      </c>
      <c r="D440">
        <f>Screening!L440</f>
        <v>80.02</v>
      </c>
      <c r="E440">
        <f>Screening!N440</f>
        <v>3.97</v>
      </c>
      <c r="F440" s="16">
        <f t="shared" si="12"/>
        <v>3.7758186397984885</v>
      </c>
      <c r="G440" s="16">
        <f>100*(E440/D440)</f>
        <v>4.9612596850787307</v>
      </c>
    </row>
    <row r="441" spans="1:7" hidden="1" x14ac:dyDescent="0.15">
      <c r="A441" t="s">
        <v>2473</v>
      </c>
      <c r="B441" s="15" t="str">
        <f>Screening!I441</f>
        <v>IQTR1981997752</v>
      </c>
      <c r="C441">
        <f>Screening!F441</f>
        <v>150</v>
      </c>
      <c r="D441">
        <f>Screening!L441</f>
        <v>80</v>
      </c>
      <c r="E441" t="str">
        <f>Screening!N441</f>
        <v>-</v>
      </c>
      <c r="F441" t="e">
        <f t="shared" si="12"/>
        <v>#VALUE!</v>
      </c>
      <c r="G441" t="e">
        <f t="shared" si="13"/>
        <v>#VALUE!</v>
      </c>
    </row>
    <row r="442" spans="1:7" hidden="1" x14ac:dyDescent="0.15">
      <c r="A442" t="s">
        <v>2474</v>
      </c>
      <c r="B442" s="15" t="str">
        <f>Screening!I442</f>
        <v>IQTR1870911540</v>
      </c>
      <c r="C442" t="str">
        <f>Screening!F442</f>
        <v>-</v>
      </c>
      <c r="D442">
        <f>Screening!L442</f>
        <v>80</v>
      </c>
      <c r="E442" t="str">
        <f>Screening!N442</f>
        <v>-</v>
      </c>
      <c r="F442" t="e">
        <f t="shared" si="12"/>
        <v>#VALUE!</v>
      </c>
      <c r="G442" t="e">
        <f t="shared" si="13"/>
        <v>#VALUE!</v>
      </c>
    </row>
    <row r="443" spans="1:7" hidden="1" x14ac:dyDescent="0.15">
      <c r="A443" t="s">
        <v>2475</v>
      </c>
      <c r="B443" s="15" t="str">
        <f>Screening!I443</f>
        <v>IQTR1796791586</v>
      </c>
      <c r="C443">
        <f>Screening!F443</f>
        <v>279</v>
      </c>
      <c r="D443">
        <f>Screening!L443</f>
        <v>80</v>
      </c>
      <c r="E443" t="str">
        <f>Screening!N443</f>
        <v>-</v>
      </c>
      <c r="F443" t="e">
        <f t="shared" si="12"/>
        <v>#VALUE!</v>
      </c>
      <c r="G443" t="e">
        <f t="shared" si="13"/>
        <v>#VALUE!</v>
      </c>
    </row>
    <row r="444" spans="1:7" hidden="1" x14ac:dyDescent="0.15">
      <c r="A444" t="s">
        <v>2476</v>
      </c>
      <c r="B444" s="15" t="str">
        <f>Screening!I444</f>
        <v>IQTR1758745986</v>
      </c>
      <c r="C444" t="str">
        <f>Screening!F444</f>
        <v>-</v>
      </c>
      <c r="D444">
        <f>Screening!L444</f>
        <v>80</v>
      </c>
      <c r="E444" t="str">
        <f>Screening!N444</f>
        <v>-</v>
      </c>
      <c r="F444" t="e">
        <f t="shared" si="12"/>
        <v>#VALUE!</v>
      </c>
      <c r="G444" t="e">
        <f t="shared" si="13"/>
        <v>#VALUE!</v>
      </c>
    </row>
    <row r="445" spans="1:7" hidden="1" x14ac:dyDescent="0.15">
      <c r="A445" t="s">
        <v>2477</v>
      </c>
      <c r="B445" s="15" t="str">
        <f>Screening!I445</f>
        <v>IQTR1957992543</v>
      </c>
      <c r="C445">
        <f>Screening!F445</f>
        <v>5.57</v>
      </c>
      <c r="D445">
        <f>Screening!L445</f>
        <v>79.650000000000006</v>
      </c>
      <c r="E445" t="str">
        <f>Screening!N445</f>
        <v>-</v>
      </c>
      <c r="F445" t="e">
        <f t="shared" si="12"/>
        <v>#VALUE!</v>
      </c>
      <c r="G445" t="e">
        <f t="shared" si="13"/>
        <v>#VALUE!</v>
      </c>
    </row>
    <row r="446" spans="1:7" hidden="1" x14ac:dyDescent="0.15">
      <c r="A446" t="s">
        <v>2478</v>
      </c>
      <c r="B446" s="15" t="str">
        <f>Screening!I446</f>
        <v>IQTR1968070329</v>
      </c>
      <c r="C446">
        <f>Screening!F446</f>
        <v>314.49</v>
      </c>
      <c r="D446">
        <f>Screening!L446</f>
        <v>79.55</v>
      </c>
      <c r="E446">
        <f>Screening!N446</f>
        <v>9.02</v>
      </c>
      <c r="F446" s="16">
        <f>C446/E446</f>
        <v>34.865853658536587</v>
      </c>
      <c r="G446" s="16">
        <f>100*(E446/D446)</f>
        <v>11.338780641106222</v>
      </c>
    </row>
    <row r="447" spans="1:7" hidden="1" x14ac:dyDescent="0.15">
      <c r="A447" t="s">
        <v>2479</v>
      </c>
      <c r="B447" s="15" t="str">
        <f>Screening!I447</f>
        <v>IQTR2003065849</v>
      </c>
      <c r="C447">
        <f>Screening!F447</f>
        <v>218</v>
      </c>
      <c r="D447">
        <f>Screening!L447</f>
        <v>79.099999999999994</v>
      </c>
      <c r="E447" t="str">
        <f>Screening!N447</f>
        <v>-</v>
      </c>
      <c r="F447" t="e">
        <f t="shared" si="12"/>
        <v>#VALUE!</v>
      </c>
      <c r="G447" t="e">
        <f t="shared" si="13"/>
        <v>#VALUE!</v>
      </c>
    </row>
    <row r="448" spans="1:7" hidden="1" x14ac:dyDescent="0.15">
      <c r="A448" t="s">
        <v>2480</v>
      </c>
      <c r="B448" s="15" t="str">
        <f>Screening!I448</f>
        <v>IQTR1869070314</v>
      </c>
      <c r="C448" t="str">
        <f>Screening!F448</f>
        <v>-</v>
      </c>
      <c r="D448">
        <f>Screening!L448</f>
        <v>78.430000000000007</v>
      </c>
      <c r="E448" t="str">
        <f>Screening!N448</f>
        <v>-</v>
      </c>
      <c r="F448" t="e">
        <f t="shared" si="12"/>
        <v>#VALUE!</v>
      </c>
      <c r="G448" t="e">
        <f t="shared" si="13"/>
        <v>#VALUE!</v>
      </c>
    </row>
    <row r="449" spans="1:7" x14ac:dyDescent="0.15">
      <c r="A449" t="s">
        <v>2481</v>
      </c>
      <c r="B449" s="15" t="str">
        <f>Screening!I449</f>
        <v>IQTR1854150211</v>
      </c>
      <c r="C449">
        <f>Screening!F449</f>
        <v>245.24</v>
      </c>
      <c r="D449">
        <f>Screening!L449</f>
        <v>78.319999999999993</v>
      </c>
      <c r="E449">
        <f>Screening!N449</f>
        <v>21.7</v>
      </c>
      <c r="F449" s="16">
        <f t="shared" si="12"/>
        <v>11.301382488479263</v>
      </c>
      <c r="G449" s="16">
        <f>100*(E449/D449)</f>
        <v>27.706843718079675</v>
      </c>
    </row>
    <row r="450" spans="1:7" hidden="1" x14ac:dyDescent="0.15">
      <c r="A450" t="s">
        <v>2482</v>
      </c>
      <c r="B450" s="15" t="str">
        <f>Screening!I450</f>
        <v>IQTR1884442754</v>
      </c>
      <c r="C450">
        <f>Screening!F450</f>
        <v>115.05</v>
      </c>
      <c r="D450">
        <f>Screening!L450</f>
        <v>77.86</v>
      </c>
      <c r="E450">
        <f>Screening!N450</f>
        <v>6.41</v>
      </c>
      <c r="F450" s="16">
        <f t="shared" si="12"/>
        <v>17.948517940717629</v>
      </c>
      <c r="G450" s="16">
        <f>100*(E450/D450)</f>
        <v>8.2327254045723102</v>
      </c>
    </row>
    <row r="451" spans="1:7" hidden="1" x14ac:dyDescent="0.15">
      <c r="A451" t="s">
        <v>2483</v>
      </c>
      <c r="B451" s="15" t="str">
        <f>Screening!I451</f>
        <v>IQTR1946124793</v>
      </c>
      <c r="C451" t="str">
        <f>Screening!F451</f>
        <v>-</v>
      </c>
      <c r="D451">
        <f>Screening!L451</f>
        <v>77.48</v>
      </c>
      <c r="E451">
        <f>Screening!N451</f>
        <v>24.3</v>
      </c>
      <c r="F451" t="e">
        <f t="shared" ref="F451:F513" si="14">C451/E451</f>
        <v>#VALUE!</v>
      </c>
      <c r="G451">
        <f t="shared" ref="G451:G513" si="15">E451/D451</f>
        <v>0.31362932369643776</v>
      </c>
    </row>
    <row r="452" spans="1:7" hidden="1" x14ac:dyDescent="0.15">
      <c r="A452" t="s">
        <v>2484</v>
      </c>
      <c r="B452" s="15" t="str">
        <f>Screening!I452</f>
        <v>IQTR1793277977</v>
      </c>
      <c r="C452" t="str">
        <f>Screening!F452</f>
        <v>-</v>
      </c>
      <c r="D452">
        <f>Screening!L452</f>
        <v>76.959999999999994</v>
      </c>
      <c r="E452" t="str">
        <f>Screening!N452</f>
        <v>-</v>
      </c>
      <c r="F452" t="e">
        <f t="shared" si="14"/>
        <v>#VALUE!</v>
      </c>
      <c r="G452" t="e">
        <f t="shared" si="15"/>
        <v>#VALUE!</v>
      </c>
    </row>
    <row r="453" spans="1:7" hidden="1" x14ac:dyDescent="0.15">
      <c r="A453" t="s">
        <v>2485</v>
      </c>
      <c r="B453" s="15" t="str">
        <f>Screening!I453</f>
        <v>IQTR1889183346</v>
      </c>
      <c r="C453" t="str">
        <f>Screening!F453</f>
        <v>-</v>
      </c>
      <c r="D453">
        <f>Screening!L453</f>
        <v>76</v>
      </c>
      <c r="E453" t="str">
        <f>Screening!N453</f>
        <v>-</v>
      </c>
      <c r="F453" t="e">
        <f t="shared" si="14"/>
        <v>#VALUE!</v>
      </c>
      <c r="G453" t="e">
        <f t="shared" si="15"/>
        <v>#VALUE!</v>
      </c>
    </row>
    <row r="454" spans="1:7" hidden="1" x14ac:dyDescent="0.15">
      <c r="A454" t="s">
        <v>2486</v>
      </c>
      <c r="B454" s="15" t="str">
        <f>Screening!I454</f>
        <v>IQTR1837935006</v>
      </c>
      <c r="C454">
        <f>Screening!F454</f>
        <v>8.4</v>
      </c>
      <c r="D454">
        <f>Screening!L454</f>
        <v>75.849999999999994</v>
      </c>
      <c r="E454">
        <f>Screening!N454</f>
        <v>-13.7</v>
      </c>
      <c r="F454" s="16">
        <f>C454/E454</f>
        <v>-0.61313868613138689</v>
      </c>
      <c r="G454" s="16">
        <f>100*(E454/D454)</f>
        <v>-18.061964403427819</v>
      </c>
    </row>
    <row r="455" spans="1:7" hidden="1" x14ac:dyDescent="0.15">
      <c r="A455" t="s">
        <v>2487</v>
      </c>
      <c r="B455" s="15" t="str">
        <f>Screening!I455</f>
        <v>IQTR1858957408</v>
      </c>
      <c r="C455">
        <f>Screening!F455</f>
        <v>132.5</v>
      </c>
      <c r="D455">
        <f>Screening!L455</f>
        <v>75.8</v>
      </c>
      <c r="E455" t="str">
        <f>Screening!N455</f>
        <v>-</v>
      </c>
      <c r="F455" t="e">
        <f t="shared" si="14"/>
        <v>#VALUE!</v>
      </c>
      <c r="G455" t="e">
        <f t="shared" si="15"/>
        <v>#VALUE!</v>
      </c>
    </row>
    <row r="456" spans="1:7" hidden="1" x14ac:dyDescent="0.15">
      <c r="A456" t="s">
        <v>2488</v>
      </c>
      <c r="B456" s="15" t="str">
        <f>Screening!I456</f>
        <v>IQTR1904659440</v>
      </c>
      <c r="C456" t="str">
        <f>Screening!F456</f>
        <v>-</v>
      </c>
      <c r="D456">
        <f>Screening!L456</f>
        <v>75.5</v>
      </c>
      <c r="E456" t="str">
        <f>Screening!N456</f>
        <v>-</v>
      </c>
      <c r="F456" t="e">
        <f t="shared" si="14"/>
        <v>#VALUE!</v>
      </c>
      <c r="G456" t="e">
        <f t="shared" si="15"/>
        <v>#VALUE!</v>
      </c>
    </row>
    <row r="457" spans="1:7" hidden="1" x14ac:dyDescent="0.15">
      <c r="A457" t="s">
        <v>2489</v>
      </c>
      <c r="B457" s="15" t="str">
        <f>Screening!I457</f>
        <v>IQTR1960690745</v>
      </c>
      <c r="C457" t="str">
        <f>Screening!F457</f>
        <v>-</v>
      </c>
      <c r="D457">
        <f>Screening!L457</f>
        <v>75.5</v>
      </c>
      <c r="E457" t="str">
        <f>Screening!N457</f>
        <v>-</v>
      </c>
      <c r="F457" t="e">
        <f t="shared" si="14"/>
        <v>#VALUE!</v>
      </c>
      <c r="G457" t="e">
        <f t="shared" si="15"/>
        <v>#VALUE!</v>
      </c>
    </row>
    <row r="458" spans="1:7" hidden="1" x14ac:dyDescent="0.15">
      <c r="A458" t="s">
        <v>2490</v>
      </c>
      <c r="B458" s="15" t="str">
        <f>Screening!I458</f>
        <v>IQTR1794252226</v>
      </c>
      <c r="C458" t="str">
        <f>Screening!F458</f>
        <v>-</v>
      </c>
      <c r="D458">
        <f>Screening!L458</f>
        <v>75</v>
      </c>
      <c r="E458" t="str">
        <f>Screening!N458</f>
        <v>-</v>
      </c>
      <c r="F458" t="e">
        <f t="shared" si="14"/>
        <v>#VALUE!</v>
      </c>
      <c r="G458" t="e">
        <f t="shared" si="15"/>
        <v>#VALUE!</v>
      </c>
    </row>
    <row r="459" spans="1:7" x14ac:dyDescent="0.15">
      <c r="A459" t="s">
        <v>2491</v>
      </c>
      <c r="B459" s="15" t="str">
        <f>Screening!I459</f>
        <v>IQTR1980671147</v>
      </c>
      <c r="C459">
        <f>Screening!F459</f>
        <v>123.02</v>
      </c>
      <c r="D459">
        <f>Screening!L459</f>
        <v>74.97</v>
      </c>
      <c r="E459">
        <f>Screening!N459</f>
        <v>15.6</v>
      </c>
      <c r="F459" s="16">
        <f>C459/E459</f>
        <v>7.8858974358974354</v>
      </c>
      <c r="G459" s="16">
        <f>100*(E459/D459)</f>
        <v>20.808323329331731</v>
      </c>
    </row>
    <row r="460" spans="1:7" hidden="1" x14ac:dyDescent="0.15">
      <c r="A460" t="s">
        <v>2492</v>
      </c>
      <c r="B460" s="15" t="str">
        <f>Screening!I460</f>
        <v>IQTR1800805779</v>
      </c>
      <c r="C460" t="str">
        <f>Screening!F460</f>
        <v>-</v>
      </c>
      <c r="D460">
        <f>Screening!L460</f>
        <v>74.959999999999994</v>
      </c>
      <c r="E460">
        <f>Screening!N460</f>
        <v>3.9</v>
      </c>
      <c r="F460" t="e">
        <f t="shared" si="14"/>
        <v>#VALUE!</v>
      </c>
      <c r="G460">
        <f t="shared" si="15"/>
        <v>5.2027748132337251E-2</v>
      </c>
    </row>
    <row r="461" spans="1:7" x14ac:dyDescent="0.15">
      <c r="A461" t="s">
        <v>2493</v>
      </c>
      <c r="B461" s="15" t="str">
        <f>Screening!I461</f>
        <v>IQTR1914448998</v>
      </c>
      <c r="C461">
        <f>Screening!F461</f>
        <v>43.97</v>
      </c>
      <c r="D461">
        <f>Screening!L461</f>
        <v>74.930000000000007</v>
      </c>
      <c r="E461">
        <f>Screening!N461</f>
        <v>7.51</v>
      </c>
      <c r="F461" s="16">
        <f>C461/E461</f>
        <v>5.8548601864181089</v>
      </c>
      <c r="G461" s="16">
        <f>100*(E461/D461)</f>
        <v>10.022687841985853</v>
      </c>
    </row>
    <row r="462" spans="1:7" hidden="1" x14ac:dyDescent="0.15">
      <c r="A462" t="s">
        <v>2494</v>
      </c>
      <c r="B462" s="15" t="str">
        <f>Screening!I462</f>
        <v>IQTR1855499083</v>
      </c>
      <c r="C462">
        <f>Screening!F462</f>
        <v>39.32</v>
      </c>
      <c r="D462">
        <f>Screening!L462</f>
        <v>74.760000000000005</v>
      </c>
      <c r="E462" t="str">
        <f>Screening!N462</f>
        <v>-</v>
      </c>
      <c r="F462" t="e">
        <f t="shared" si="14"/>
        <v>#VALUE!</v>
      </c>
      <c r="G462" t="e">
        <f t="shared" si="15"/>
        <v>#VALUE!</v>
      </c>
    </row>
    <row r="463" spans="1:7" hidden="1" x14ac:dyDescent="0.15">
      <c r="A463" t="s">
        <v>2495</v>
      </c>
      <c r="B463" s="15" t="str">
        <f>Screening!I463</f>
        <v>IQTR1960001017</v>
      </c>
      <c r="C463">
        <f>Screening!F463</f>
        <v>883</v>
      </c>
      <c r="D463">
        <f>Screening!L463</f>
        <v>74.7</v>
      </c>
      <c r="E463" t="str">
        <f>Screening!N463</f>
        <v>-</v>
      </c>
      <c r="F463" t="e">
        <f t="shared" si="14"/>
        <v>#VALUE!</v>
      </c>
      <c r="G463" t="e">
        <f t="shared" si="15"/>
        <v>#VALUE!</v>
      </c>
    </row>
    <row r="464" spans="1:7" hidden="1" x14ac:dyDescent="0.15">
      <c r="A464" t="s">
        <v>2496</v>
      </c>
      <c r="B464" s="15" t="str">
        <f>Screening!I464</f>
        <v>IQTR1862134825</v>
      </c>
      <c r="C464">
        <f>Screening!F464</f>
        <v>434.01</v>
      </c>
      <c r="D464">
        <f>Screening!L464</f>
        <v>73.930000000000007</v>
      </c>
      <c r="E464" t="str">
        <f>Screening!N464</f>
        <v>-</v>
      </c>
      <c r="F464" t="e">
        <f t="shared" si="14"/>
        <v>#VALUE!</v>
      </c>
      <c r="G464" t="e">
        <f t="shared" si="15"/>
        <v>#VALUE!</v>
      </c>
    </row>
    <row r="465" spans="1:7" hidden="1" x14ac:dyDescent="0.15">
      <c r="A465" t="s">
        <v>2497</v>
      </c>
      <c r="B465" s="15" t="str">
        <f>Screening!I465</f>
        <v>IQTR1814793386</v>
      </c>
      <c r="C465" t="str">
        <f>Screening!F465</f>
        <v>-</v>
      </c>
      <c r="D465">
        <f>Screening!L465</f>
        <v>73.72</v>
      </c>
      <c r="E465" t="str">
        <f>Screening!N465</f>
        <v>-</v>
      </c>
      <c r="F465" t="e">
        <f t="shared" si="14"/>
        <v>#VALUE!</v>
      </c>
      <c r="G465" t="e">
        <f t="shared" si="15"/>
        <v>#VALUE!</v>
      </c>
    </row>
    <row r="466" spans="1:7" hidden="1" x14ac:dyDescent="0.15">
      <c r="A466" t="s">
        <v>2498</v>
      </c>
      <c r="B466" s="15" t="str">
        <f>Screening!I466</f>
        <v>IQTR1685811914</v>
      </c>
      <c r="C466">
        <f>Screening!F466</f>
        <v>57.36</v>
      </c>
      <c r="D466">
        <f>Screening!L466</f>
        <v>73.239999999999995</v>
      </c>
      <c r="E466" t="str">
        <f>Screening!N466</f>
        <v>-</v>
      </c>
      <c r="F466" t="e">
        <f t="shared" si="14"/>
        <v>#VALUE!</v>
      </c>
      <c r="G466" t="e">
        <f t="shared" si="15"/>
        <v>#VALUE!</v>
      </c>
    </row>
    <row r="467" spans="1:7" hidden="1" x14ac:dyDescent="0.15">
      <c r="A467" t="s">
        <v>2499</v>
      </c>
      <c r="B467" s="15" t="str">
        <f>Screening!I467</f>
        <v>IQTR1991540124</v>
      </c>
      <c r="C467" t="str">
        <f>Screening!F467</f>
        <v>-</v>
      </c>
      <c r="D467">
        <f>Screening!L467</f>
        <v>72.36</v>
      </c>
      <c r="E467">
        <f>Screening!N467</f>
        <v>9.36</v>
      </c>
      <c r="F467" t="e">
        <f t="shared" si="14"/>
        <v>#VALUE!</v>
      </c>
      <c r="G467">
        <f t="shared" si="15"/>
        <v>0.12935323383084577</v>
      </c>
    </row>
    <row r="468" spans="1:7" hidden="1" x14ac:dyDescent="0.15">
      <c r="A468" t="s">
        <v>2500</v>
      </c>
      <c r="B468" s="15" t="str">
        <f>Screening!I468</f>
        <v>IQTR1944076010</v>
      </c>
      <c r="C468" t="str">
        <f>Screening!F468</f>
        <v>-</v>
      </c>
      <c r="D468">
        <f>Screening!L468</f>
        <v>71.489999999999995</v>
      </c>
      <c r="E468" t="str">
        <f>Screening!N468</f>
        <v>-</v>
      </c>
      <c r="F468" t="e">
        <f t="shared" si="14"/>
        <v>#VALUE!</v>
      </c>
      <c r="G468" t="e">
        <f t="shared" si="15"/>
        <v>#VALUE!</v>
      </c>
    </row>
    <row r="469" spans="1:7" hidden="1" x14ac:dyDescent="0.15">
      <c r="A469" t="s">
        <v>2501</v>
      </c>
      <c r="B469" s="15" t="str">
        <f>Screening!I469</f>
        <v>IQTR1827767703</v>
      </c>
      <c r="C469">
        <f>Screening!F469</f>
        <v>0.248</v>
      </c>
      <c r="D469">
        <f>Screening!L469</f>
        <v>71.12</v>
      </c>
      <c r="E469" t="str">
        <f>Screening!N469</f>
        <v>-</v>
      </c>
      <c r="F469" t="e">
        <f t="shared" si="14"/>
        <v>#VALUE!</v>
      </c>
      <c r="G469" t="e">
        <f t="shared" si="15"/>
        <v>#VALUE!</v>
      </c>
    </row>
    <row r="470" spans="1:7" hidden="1" x14ac:dyDescent="0.15">
      <c r="A470" t="s">
        <v>2502</v>
      </c>
      <c r="B470" s="15" t="str">
        <f>Screening!I470</f>
        <v>IQTR1965862879</v>
      </c>
      <c r="C470" t="str">
        <f>Screening!F470</f>
        <v>-</v>
      </c>
      <c r="D470">
        <f>Screening!L470</f>
        <v>70.89</v>
      </c>
      <c r="E470" t="str">
        <f>Screening!N470</f>
        <v>-</v>
      </c>
      <c r="F470" t="e">
        <f t="shared" si="14"/>
        <v>#VALUE!</v>
      </c>
      <c r="G470" t="e">
        <f t="shared" si="15"/>
        <v>#VALUE!</v>
      </c>
    </row>
    <row r="471" spans="1:7" hidden="1" x14ac:dyDescent="0.15">
      <c r="A471" t="s">
        <v>2503</v>
      </c>
      <c r="B471" s="15" t="str">
        <f>Screening!I471</f>
        <v>IQTR1865273952</v>
      </c>
      <c r="C471">
        <f>Screening!F471</f>
        <v>37.479999999999997</v>
      </c>
      <c r="D471">
        <f>Screening!L471</f>
        <v>70.58</v>
      </c>
      <c r="E471" t="str">
        <f>Screening!N471</f>
        <v>-</v>
      </c>
      <c r="F471" t="e">
        <f t="shared" si="14"/>
        <v>#VALUE!</v>
      </c>
      <c r="G471" t="e">
        <f t="shared" si="15"/>
        <v>#VALUE!</v>
      </c>
    </row>
    <row r="472" spans="1:7" hidden="1" x14ac:dyDescent="0.15">
      <c r="A472" t="s">
        <v>2504</v>
      </c>
      <c r="B472" s="15" t="str">
        <f>Screening!I472</f>
        <v>IQTR1888395258</v>
      </c>
      <c r="C472" t="str">
        <f>Screening!F472</f>
        <v>-</v>
      </c>
      <c r="D472">
        <f>Screening!L472</f>
        <v>70.489999999999995</v>
      </c>
      <c r="E472" t="str">
        <f>Screening!N472</f>
        <v>-</v>
      </c>
      <c r="F472" t="e">
        <f t="shared" si="14"/>
        <v>#VALUE!</v>
      </c>
      <c r="G472" t="e">
        <f t="shared" si="15"/>
        <v>#VALUE!</v>
      </c>
    </row>
    <row r="473" spans="1:7" hidden="1" x14ac:dyDescent="0.15">
      <c r="A473" t="s">
        <v>2505</v>
      </c>
      <c r="B473" s="15" t="str">
        <f>Screening!I473</f>
        <v>IQTR1884452416</v>
      </c>
      <c r="C473" t="str">
        <f>Screening!F473</f>
        <v>-</v>
      </c>
      <c r="D473">
        <f>Screening!L473</f>
        <v>70.02</v>
      </c>
      <c r="E473" t="str">
        <f>Screening!N473</f>
        <v>-</v>
      </c>
      <c r="F473" t="e">
        <f t="shared" si="14"/>
        <v>#VALUE!</v>
      </c>
      <c r="G473" t="e">
        <f t="shared" si="15"/>
        <v>#VALUE!</v>
      </c>
    </row>
    <row r="474" spans="1:7" hidden="1" x14ac:dyDescent="0.15">
      <c r="A474" t="s">
        <v>2506</v>
      </c>
      <c r="B474" s="15" t="str">
        <f>Screening!I474</f>
        <v>IQTR1837026727</v>
      </c>
      <c r="C474">
        <f>Screening!F474</f>
        <v>31.29</v>
      </c>
      <c r="D474">
        <f>Screening!L474</f>
        <v>67.930000000000007</v>
      </c>
      <c r="E474" t="str">
        <f>Screening!N474</f>
        <v>-</v>
      </c>
      <c r="F474" t="e">
        <f t="shared" si="14"/>
        <v>#VALUE!</v>
      </c>
      <c r="G474" t="e">
        <f t="shared" si="15"/>
        <v>#VALUE!</v>
      </c>
    </row>
    <row r="475" spans="1:7" hidden="1" x14ac:dyDescent="0.15">
      <c r="A475" t="s">
        <v>2507</v>
      </c>
      <c r="B475" s="15" t="str">
        <f>Screening!I475</f>
        <v>IQTR1982564037</v>
      </c>
      <c r="C475">
        <f>Screening!F475</f>
        <v>71.73</v>
      </c>
      <c r="D475">
        <f>Screening!L475</f>
        <v>67.84</v>
      </c>
      <c r="E475">
        <f>Screening!N475</f>
        <v>-1.31</v>
      </c>
      <c r="F475" s="16">
        <f>C475/E475</f>
        <v>-54.755725190839698</v>
      </c>
      <c r="G475" s="16">
        <f>100*(E475/D475)</f>
        <v>-1.9310141509433962</v>
      </c>
    </row>
    <row r="476" spans="1:7" hidden="1" x14ac:dyDescent="0.15">
      <c r="A476" t="s">
        <v>2508</v>
      </c>
      <c r="B476" s="15" t="str">
        <f>Screening!I476</f>
        <v>IQTR1798769505</v>
      </c>
      <c r="C476">
        <f>Screening!F476</f>
        <v>296.17</v>
      </c>
      <c r="D476">
        <f>Screening!L476</f>
        <v>66.8</v>
      </c>
      <c r="E476" t="str">
        <f>Screening!N476</f>
        <v>-</v>
      </c>
      <c r="F476" t="e">
        <f t="shared" si="14"/>
        <v>#VALUE!</v>
      </c>
      <c r="G476" t="e">
        <f t="shared" si="15"/>
        <v>#VALUE!</v>
      </c>
    </row>
    <row r="477" spans="1:7" hidden="1" x14ac:dyDescent="0.15">
      <c r="A477" t="s">
        <v>2509</v>
      </c>
      <c r="B477" s="15" t="str">
        <f>Screening!I477</f>
        <v>IQTR1683591199</v>
      </c>
      <c r="C477">
        <f>Screening!F477</f>
        <v>143.62</v>
      </c>
      <c r="D477">
        <f>Screening!L477</f>
        <v>66.790000000000006</v>
      </c>
      <c r="E477" t="str">
        <f>Screening!N477</f>
        <v>-</v>
      </c>
      <c r="F477" t="e">
        <f t="shared" si="14"/>
        <v>#VALUE!</v>
      </c>
      <c r="G477" t="e">
        <f t="shared" si="15"/>
        <v>#VALUE!</v>
      </c>
    </row>
    <row r="478" spans="1:7" hidden="1" x14ac:dyDescent="0.15">
      <c r="A478" t="s">
        <v>2510</v>
      </c>
      <c r="B478" s="15" t="str">
        <f>Screening!I478</f>
        <v>IQTR1760894121</v>
      </c>
      <c r="C478">
        <f>Screening!F478</f>
        <v>297.33999999999997</v>
      </c>
      <c r="D478">
        <f>Screening!L478</f>
        <v>66.59</v>
      </c>
      <c r="E478" t="str">
        <f>Screening!N478</f>
        <v>-</v>
      </c>
      <c r="F478" t="e">
        <f t="shared" si="14"/>
        <v>#VALUE!</v>
      </c>
      <c r="G478" t="e">
        <f t="shared" si="15"/>
        <v>#VALUE!</v>
      </c>
    </row>
    <row r="479" spans="1:7" hidden="1" x14ac:dyDescent="0.15">
      <c r="A479" t="s">
        <v>2511</v>
      </c>
      <c r="B479" s="15" t="str">
        <f>Screening!I479</f>
        <v>IQTR1821814599</v>
      </c>
      <c r="C479" t="str">
        <f>Screening!F479</f>
        <v>-</v>
      </c>
      <c r="D479">
        <f>Screening!L479</f>
        <v>66.010000000000005</v>
      </c>
      <c r="E479" t="str">
        <f>Screening!N479</f>
        <v>-</v>
      </c>
      <c r="F479" t="e">
        <f t="shared" si="14"/>
        <v>#VALUE!</v>
      </c>
      <c r="G479" t="e">
        <f t="shared" si="15"/>
        <v>#VALUE!</v>
      </c>
    </row>
    <row r="480" spans="1:7" hidden="1" x14ac:dyDescent="0.15">
      <c r="A480" t="s">
        <v>2512</v>
      </c>
      <c r="B480" s="15" t="str">
        <f>Screening!I480</f>
        <v>IQTR1848569634</v>
      </c>
      <c r="C480">
        <f>Screening!F480</f>
        <v>161.80000000000001</v>
      </c>
      <c r="D480">
        <f>Screening!L480</f>
        <v>65</v>
      </c>
      <c r="E480" t="str">
        <f>Screening!N480</f>
        <v>-</v>
      </c>
      <c r="F480" t="e">
        <f t="shared" si="14"/>
        <v>#VALUE!</v>
      </c>
      <c r="G480" t="e">
        <f t="shared" si="15"/>
        <v>#VALUE!</v>
      </c>
    </row>
    <row r="481" spans="1:7" hidden="1" x14ac:dyDescent="0.15">
      <c r="A481" t="s">
        <v>2513</v>
      </c>
      <c r="B481" s="15" t="str">
        <f>Screening!I481</f>
        <v>IQTR1826365843</v>
      </c>
      <c r="C481">
        <f>Screening!F481</f>
        <v>109.49</v>
      </c>
      <c r="D481">
        <f>Screening!L481</f>
        <v>64.36</v>
      </c>
      <c r="E481" t="str">
        <f>Screening!N481</f>
        <v>-</v>
      </c>
      <c r="F481" t="e">
        <f t="shared" si="14"/>
        <v>#VALUE!</v>
      </c>
      <c r="G481" t="e">
        <f t="shared" si="15"/>
        <v>#VALUE!</v>
      </c>
    </row>
    <row r="482" spans="1:7" hidden="1" x14ac:dyDescent="0.15">
      <c r="A482" t="s">
        <v>2514</v>
      </c>
      <c r="B482" s="15" t="str">
        <f>Screening!I482</f>
        <v>IQTR1878904417</v>
      </c>
      <c r="C482" t="str">
        <f>Screening!F482</f>
        <v>-</v>
      </c>
      <c r="D482">
        <f>Screening!L482</f>
        <v>64.2</v>
      </c>
      <c r="E482" t="str">
        <f>Screening!N482</f>
        <v>-</v>
      </c>
      <c r="F482" t="e">
        <f t="shared" si="14"/>
        <v>#VALUE!</v>
      </c>
      <c r="G482" t="e">
        <f t="shared" si="15"/>
        <v>#VALUE!</v>
      </c>
    </row>
    <row r="483" spans="1:7" hidden="1" x14ac:dyDescent="0.15">
      <c r="A483" t="s">
        <v>2515</v>
      </c>
      <c r="B483" s="15" t="str">
        <f>Screening!I483</f>
        <v>IQTR1841361900</v>
      </c>
      <c r="C483" t="str">
        <f>Screening!F483</f>
        <v>-</v>
      </c>
      <c r="D483">
        <f>Screening!L483</f>
        <v>64.13</v>
      </c>
      <c r="E483" t="str">
        <f>Screening!N483</f>
        <v>-</v>
      </c>
      <c r="F483" t="e">
        <f t="shared" si="14"/>
        <v>#VALUE!</v>
      </c>
      <c r="G483" t="e">
        <f t="shared" si="15"/>
        <v>#VALUE!</v>
      </c>
    </row>
    <row r="484" spans="1:7" hidden="1" x14ac:dyDescent="0.15">
      <c r="A484" t="s">
        <v>2516</v>
      </c>
      <c r="B484" s="15" t="str">
        <f>Screening!I484</f>
        <v>IQTR1788870478</v>
      </c>
      <c r="C484">
        <f>Screening!F484</f>
        <v>16.12</v>
      </c>
      <c r="D484">
        <f>Screening!L484</f>
        <v>63.87</v>
      </c>
      <c r="E484" t="str">
        <f>Screening!N484</f>
        <v>-</v>
      </c>
      <c r="F484" t="e">
        <f t="shared" si="14"/>
        <v>#VALUE!</v>
      </c>
      <c r="G484" t="e">
        <f t="shared" si="15"/>
        <v>#VALUE!</v>
      </c>
    </row>
    <row r="485" spans="1:7" hidden="1" x14ac:dyDescent="0.15">
      <c r="A485" t="s">
        <v>2517</v>
      </c>
      <c r="B485" s="15" t="str">
        <f>Screening!I485</f>
        <v>IQTR1684969396</v>
      </c>
      <c r="C485" t="str">
        <f>Screening!F485</f>
        <v>-</v>
      </c>
      <c r="D485">
        <f>Screening!L485</f>
        <v>63.78</v>
      </c>
      <c r="E485">
        <f>Screening!N485</f>
        <v>4.1000000000000002E-2</v>
      </c>
      <c r="F485" t="e">
        <f t="shared" si="14"/>
        <v>#VALUE!</v>
      </c>
      <c r="G485">
        <f t="shared" si="15"/>
        <v>6.4283474443399189E-4</v>
      </c>
    </row>
    <row r="486" spans="1:7" hidden="1" x14ac:dyDescent="0.15">
      <c r="A486" t="s">
        <v>2518</v>
      </c>
      <c r="B486" s="15" t="str">
        <f>Screening!I486</f>
        <v>IQTR1940031057</v>
      </c>
      <c r="C486">
        <f>Screening!F486</f>
        <v>36</v>
      </c>
      <c r="D486">
        <f>Screening!L486</f>
        <v>63.5</v>
      </c>
      <c r="E486" t="str">
        <f>Screening!N486</f>
        <v>-</v>
      </c>
      <c r="F486" t="e">
        <f t="shared" si="14"/>
        <v>#VALUE!</v>
      </c>
      <c r="G486" t="e">
        <f t="shared" si="15"/>
        <v>#VALUE!</v>
      </c>
    </row>
    <row r="487" spans="1:7" hidden="1" x14ac:dyDescent="0.15">
      <c r="A487" t="s">
        <v>2519</v>
      </c>
      <c r="B487" s="15" t="str">
        <f>Screening!I487</f>
        <v>IQTR1884474283</v>
      </c>
      <c r="C487">
        <f>Screening!F487</f>
        <v>702.17</v>
      </c>
      <c r="D487">
        <f>Screening!L487</f>
        <v>63.1</v>
      </c>
      <c r="E487" t="str">
        <f>Screening!N487</f>
        <v>-</v>
      </c>
      <c r="F487" t="e">
        <f t="shared" si="14"/>
        <v>#VALUE!</v>
      </c>
      <c r="G487" t="e">
        <f t="shared" si="15"/>
        <v>#VALUE!</v>
      </c>
    </row>
    <row r="488" spans="1:7" hidden="1" x14ac:dyDescent="0.15">
      <c r="A488" t="s">
        <v>2520</v>
      </c>
      <c r="B488" s="15" t="str">
        <f>Screening!I488</f>
        <v>IQTR1781066046</v>
      </c>
      <c r="C488">
        <f>Screening!F488</f>
        <v>428.54</v>
      </c>
      <c r="D488">
        <f>Screening!L488</f>
        <v>63.09</v>
      </c>
      <c r="E488" t="str">
        <f>Screening!N488</f>
        <v>-</v>
      </c>
      <c r="F488" t="e">
        <f t="shared" si="14"/>
        <v>#VALUE!</v>
      </c>
      <c r="G488" t="e">
        <f t="shared" si="15"/>
        <v>#VALUE!</v>
      </c>
    </row>
    <row r="489" spans="1:7" hidden="1" x14ac:dyDescent="0.15">
      <c r="A489" t="s">
        <v>2521</v>
      </c>
      <c r="B489" s="15" t="str">
        <f>Screening!I489</f>
        <v>IQTR1806048492</v>
      </c>
      <c r="C489" t="str">
        <f>Screening!F489</f>
        <v>-</v>
      </c>
      <c r="D489">
        <f>Screening!L489</f>
        <v>62.96</v>
      </c>
      <c r="E489">
        <f>Screening!N489</f>
        <v>-11.6</v>
      </c>
      <c r="F489" t="e">
        <f t="shared" si="14"/>
        <v>#VALUE!</v>
      </c>
      <c r="G489">
        <f t="shared" si="15"/>
        <v>-0.18424396442185514</v>
      </c>
    </row>
    <row r="490" spans="1:7" hidden="1" x14ac:dyDescent="0.15">
      <c r="A490" t="s">
        <v>2522</v>
      </c>
      <c r="B490" s="15" t="str">
        <f>Screening!I490</f>
        <v>IQTR1972061045</v>
      </c>
      <c r="C490">
        <f>Screening!F490</f>
        <v>69.53</v>
      </c>
      <c r="D490">
        <f>Screening!L490</f>
        <v>62.78</v>
      </c>
      <c r="E490">
        <f>Screening!N490</f>
        <v>0.875</v>
      </c>
      <c r="F490" s="16">
        <f t="shared" si="14"/>
        <v>79.462857142857146</v>
      </c>
      <c r="G490" s="16">
        <f>100*(E490/D490)</f>
        <v>1.3937559732398852</v>
      </c>
    </row>
    <row r="491" spans="1:7" hidden="1" x14ac:dyDescent="0.15">
      <c r="A491" t="s">
        <v>2523</v>
      </c>
      <c r="B491" s="15" t="str">
        <f>Screening!I491</f>
        <v>IQTR1765500719</v>
      </c>
      <c r="C491">
        <f>Screening!F491</f>
        <v>40.32</v>
      </c>
      <c r="D491">
        <f>Screening!L491</f>
        <v>62.55</v>
      </c>
      <c r="E491">
        <f>Screening!N491</f>
        <v>-5.86</v>
      </c>
      <c r="F491" s="16">
        <f t="shared" si="14"/>
        <v>-6.8805460750853236</v>
      </c>
      <c r="G491" s="16">
        <f>100*(E491/D491)</f>
        <v>-9.3685051958433263</v>
      </c>
    </row>
    <row r="492" spans="1:7" hidden="1" x14ac:dyDescent="0.15">
      <c r="A492" t="s">
        <v>2524</v>
      </c>
      <c r="B492" s="15" t="str">
        <f>Screening!I492</f>
        <v>IQTR1877619573</v>
      </c>
      <c r="C492">
        <f>Screening!F492</f>
        <v>175.68</v>
      </c>
      <c r="D492">
        <f>Screening!L492</f>
        <v>62.43</v>
      </c>
      <c r="E492" t="str">
        <f>Screening!N492</f>
        <v>-</v>
      </c>
      <c r="F492" t="e">
        <f t="shared" si="14"/>
        <v>#VALUE!</v>
      </c>
      <c r="G492" t="e">
        <f t="shared" si="15"/>
        <v>#VALUE!</v>
      </c>
    </row>
    <row r="493" spans="1:7" hidden="1" x14ac:dyDescent="0.15">
      <c r="A493" t="s">
        <v>2525</v>
      </c>
      <c r="B493" s="15" t="str">
        <f>Screening!I493</f>
        <v>IQTR1783540961</v>
      </c>
      <c r="C493">
        <f>Screening!F493</f>
        <v>126.4</v>
      </c>
      <c r="D493">
        <f>Screening!L493</f>
        <v>62.14</v>
      </c>
      <c r="E493" t="str">
        <f>Screening!N493</f>
        <v>-</v>
      </c>
      <c r="F493" t="e">
        <f t="shared" si="14"/>
        <v>#VALUE!</v>
      </c>
      <c r="G493" t="e">
        <f t="shared" si="15"/>
        <v>#VALUE!</v>
      </c>
    </row>
    <row r="494" spans="1:7" hidden="1" x14ac:dyDescent="0.15">
      <c r="A494" t="s">
        <v>2526</v>
      </c>
      <c r="B494" s="15" t="str">
        <f>Screening!I494</f>
        <v>IQTR1814616304</v>
      </c>
      <c r="C494">
        <f>Screening!F494</f>
        <v>126.4</v>
      </c>
      <c r="D494">
        <f>Screening!L494</f>
        <v>62.14</v>
      </c>
      <c r="E494" t="str">
        <f>Screening!N494</f>
        <v>-</v>
      </c>
      <c r="F494" t="e">
        <f t="shared" si="14"/>
        <v>#VALUE!</v>
      </c>
      <c r="G494" t="e">
        <f t="shared" si="15"/>
        <v>#VALUE!</v>
      </c>
    </row>
    <row r="495" spans="1:7" hidden="1" x14ac:dyDescent="0.15">
      <c r="A495" t="s">
        <v>2527</v>
      </c>
      <c r="B495" s="15" t="str">
        <f>Screening!I495</f>
        <v>IQTR1814759644</v>
      </c>
      <c r="C495">
        <f>Screening!F495</f>
        <v>11.99</v>
      </c>
      <c r="D495">
        <f>Screening!L495</f>
        <v>61.79</v>
      </c>
      <c r="E495">
        <f>Screening!N495</f>
        <v>-9.67</v>
      </c>
      <c r="F495" s="16">
        <f>C495/E495</f>
        <v>-1.2399172699069287</v>
      </c>
      <c r="G495" s="16">
        <f>100*(E495/D495)</f>
        <v>-15.649781518044993</v>
      </c>
    </row>
    <row r="496" spans="1:7" hidden="1" x14ac:dyDescent="0.15">
      <c r="A496" t="s">
        <v>2528</v>
      </c>
      <c r="B496" s="15" t="str">
        <f>Screening!I496</f>
        <v>IQTR1955176754</v>
      </c>
      <c r="C496">
        <f>Screening!F496</f>
        <v>277.89</v>
      </c>
      <c r="D496">
        <f>Screening!L496</f>
        <v>61.01</v>
      </c>
      <c r="E496" t="str">
        <f>Screening!N496</f>
        <v>-</v>
      </c>
      <c r="F496" t="e">
        <f t="shared" si="14"/>
        <v>#VALUE!</v>
      </c>
      <c r="G496" t="e">
        <f t="shared" si="15"/>
        <v>#VALUE!</v>
      </c>
    </row>
    <row r="497" spans="1:7" hidden="1" x14ac:dyDescent="0.15">
      <c r="A497" t="s">
        <v>2529</v>
      </c>
      <c r="B497" s="15" t="str">
        <f>Screening!I497</f>
        <v>IQTR1848917910</v>
      </c>
      <c r="C497">
        <f>Screening!F497</f>
        <v>87.54</v>
      </c>
      <c r="D497">
        <f>Screening!L497</f>
        <v>60.6</v>
      </c>
      <c r="E497" t="str">
        <f>Screening!N497</f>
        <v>-</v>
      </c>
      <c r="F497" t="e">
        <f t="shared" si="14"/>
        <v>#VALUE!</v>
      </c>
      <c r="G497" t="e">
        <f t="shared" si="15"/>
        <v>#VALUE!</v>
      </c>
    </row>
    <row r="498" spans="1:7" hidden="1" x14ac:dyDescent="0.15">
      <c r="A498" t="s">
        <v>2530</v>
      </c>
      <c r="B498" s="15" t="str">
        <f>Screening!I498</f>
        <v>IQTR1883416548</v>
      </c>
      <c r="C498" t="str">
        <f>Screening!F498</f>
        <v>-</v>
      </c>
      <c r="D498">
        <f>Screening!L498</f>
        <v>60.55</v>
      </c>
      <c r="E498">
        <f>Screening!N498</f>
        <v>13.1</v>
      </c>
      <c r="F498" t="e">
        <f t="shared" si="14"/>
        <v>#VALUE!</v>
      </c>
      <c r="G498">
        <f t="shared" si="15"/>
        <v>0.21635012386457472</v>
      </c>
    </row>
    <row r="499" spans="1:7" hidden="1" x14ac:dyDescent="0.15">
      <c r="A499" t="s">
        <v>2531</v>
      </c>
      <c r="B499" s="15" t="str">
        <f>Screening!I499</f>
        <v>IQTR1998840464</v>
      </c>
      <c r="C499">
        <f>Screening!F499</f>
        <v>11.54</v>
      </c>
      <c r="D499">
        <f>Screening!L499</f>
        <v>60.08</v>
      </c>
      <c r="E499">
        <f>Screening!N499</f>
        <v>1.67</v>
      </c>
      <c r="F499" s="16">
        <f>C499/E499</f>
        <v>6.9101796407185629</v>
      </c>
      <c r="G499" s="16">
        <f>100*(E499/D499)</f>
        <v>2.7796271637816243</v>
      </c>
    </row>
    <row r="500" spans="1:7" hidden="1" x14ac:dyDescent="0.15">
      <c r="A500" t="s">
        <v>2532</v>
      </c>
      <c r="B500" s="15" t="str">
        <f>Screening!I500</f>
        <v>IQTR1800478990</v>
      </c>
      <c r="C500">
        <f>Screening!F500</f>
        <v>6.4</v>
      </c>
      <c r="D500">
        <f>Screening!L500</f>
        <v>60.04</v>
      </c>
      <c r="E500" t="str">
        <f>Screening!N500</f>
        <v>-</v>
      </c>
      <c r="F500" t="e">
        <f t="shared" si="14"/>
        <v>#VALUE!</v>
      </c>
      <c r="G500" t="e">
        <f t="shared" si="15"/>
        <v>#VALUE!</v>
      </c>
    </row>
    <row r="501" spans="1:7" hidden="1" x14ac:dyDescent="0.15">
      <c r="A501" t="s">
        <v>2533</v>
      </c>
      <c r="B501" s="15" t="str">
        <f>Screening!I501</f>
        <v>IQTR1775256170</v>
      </c>
      <c r="C501" t="str">
        <f>Screening!F501</f>
        <v>-</v>
      </c>
      <c r="D501">
        <f>Screening!L501</f>
        <v>60</v>
      </c>
      <c r="E501" t="str">
        <f>Screening!N501</f>
        <v>-</v>
      </c>
      <c r="F501" t="e">
        <f t="shared" si="14"/>
        <v>#VALUE!</v>
      </c>
      <c r="G501" t="e">
        <f t="shared" si="15"/>
        <v>#VALUE!</v>
      </c>
    </row>
    <row r="502" spans="1:7" hidden="1" x14ac:dyDescent="0.15">
      <c r="A502" t="s">
        <v>2534</v>
      </c>
      <c r="B502" s="15" t="str">
        <f>Screening!I502</f>
        <v>IQTR2011239751</v>
      </c>
      <c r="C502">
        <f>Screening!F502</f>
        <v>7.13</v>
      </c>
      <c r="D502">
        <f>Screening!L502</f>
        <v>59.87</v>
      </c>
      <c r="E502" t="str">
        <f>Screening!N502</f>
        <v>-</v>
      </c>
      <c r="F502" t="e">
        <f t="shared" si="14"/>
        <v>#VALUE!</v>
      </c>
      <c r="G502" t="e">
        <f t="shared" si="15"/>
        <v>#VALUE!</v>
      </c>
    </row>
    <row r="503" spans="1:7" hidden="1" x14ac:dyDescent="0.15">
      <c r="A503" t="s">
        <v>2535</v>
      </c>
      <c r="B503" s="15" t="str">
        <f>Screening!I503</f>
        <v>IQTR1981626306</v>
      </c>
      <c r="C503" t="str">
        <f>Screening!F503</f>
        <v>-</v>
      </c>
      <c r="D503">
        <f>Screening!L503</f>
        <v>59.66</v>
      </c>
      <c r="E503">
        <f>Screening!N503</f>
        <v>3.37</v>
      </c>
      <c r="F503" t="e">
        <f t="shared" si="14"/>
        <v>#VALUE!</v>
      </c>
      <c r="G503">
        <f t="shared" si="15"/>
        <v>5.648675829701643E-2</v>
      </c>
    </row>
    <row r="504" spans="1:7" hidden="1" x14ac:dyDescent="0.15">
      <c r="A504" t="s">
        <v>2536</v>
      </c>
      <c r="B504" s="15" t="str">
        <f>Screening!I504</f>
        <v>IQTR1770125262</v>
      </c>
      <c r="C504">
        <f>Screening!F504</f>
        <v>235.49</v>
      </c>
      <c r="D504">
        <f>Screening!L504</f>
        <v>59.55</v>
      </c>
      <c r="E504" t="str">
        <f>Screening!N504</f>
        <v>-</v>
      </c>
      <c r="F504" t="e">
        <f t="shared" si="14"/>
        <v>#VALUE!</v>
      </c>
      <c r="G504" t="e">
        <f t="shared" si="15"/>
        <v>#VALUE!</v>
      </c>
    </row>
    <row r="505" spans="1:7" hidden="1" x14ac:dyDescent="0.15">
      <c r="A505" t="s">
        <v>2537</v>
      </c>
      <c r="B505" s="15" t="str">
        <f>Screening!I505</f>
        <v>IQTR2007439747</v>
      </c>
      <c r="C505">
        <f>Screening!F505</f>
        <v>310</v>
      </c>
      <c r="D505">
        <f>Screening!L505</f>
        <v>59</v>
      </c>
      <c r="E505" t="str">
        <f>Screening!N505</f>
        <v>-</v>
      </c>
      <c r="F505" t="e">
        <f t="shared" si="14"/>
        <v>#VALUE!</v>
      </c>
      <c r="G505" t="e">
        <f t="shared" si="15"/>
        <v>#VALUE!</v>
      </c>
    </row>
    <row r="506" spans="1:7" hidden="1" x14ac:dyDescent="0.15">
      <c r="A506" t="s">
        <v>2538</v>
      </c>
      <c r="B506" s="15" t="str">
        <f>Screening!I506</f>
        <v>IQTR1872258642</v>
      </c>
      <c r="C506" t="str">
        <f>Screening!F506</f>
        <v>-</v>
      </c>
      <c r="D506">
        <f>Screening!L506</f>
        <v>58.92</v>
      </c>
      <c r="E506">
        <f>Screening!N506</f>
        <v>29.9</v>
      </c>
      <c r="F506" t="e">
        <f t="shared" si="14"/>
        <v>#VALUE!</v>
      </c>
      <c r="G506">
        <f t="shared" si="15"/>
        <v>0.50746775288526813</v>
      </c>
    </row>
    <row r="507" spans="1:7" hidden="1" x14ac:dyDescent="0.15">
      <c r="A507" t="s">
        <v>2539</v>
      </c>
      <c r="B507" s="15" t="str">
        <f>Screening!I507</f>
        <v>IQTR1914425677</v>
      </c>
      <c r="C507">
        <f>Screening!F507</f>
        <v>9.9</v>
      </c>
      <c r="D507">
        <f>Screening!L507</f>
        <v>58.76</v>
      </c>
      <c r="E507">
        <f>Screening!N507</f>
        <v>4.68</v>
      </c>
      <c r="F507" s="16">
        <f>C507/E507</f>
        <v>2.1153846153846154</v>
      </c>
      <c r="G507" s="16">
        <f>100*(E507/D507)</f>
        <v>7.9646017699115044</v>
      </c>
    </row>
    <row r="508" spans="1:7" hidden="1" x14ac:dyDescent="0.15">
      <c r="A508" t="s">
        <v>2540</v>
      </c>
      <c r="B508" s="15" t="str">
        <f>Screening!I508</f>
        <v>IQTR1900840444</v>
      </c>
      <c r="C508" t="str">
        <f>Screening!F508</f>
        <v>-</v>
      </c>
      <c r="D508">
        <f>Screening!L508</f>
        <v>58.51</v>
      </c>
      <c r="E508" t="str">
        <f>Screening!N508</f>
        <v>-</v>
      </c>
      <c r="F508" t="e">
        <f t="shared" si="14"/>
        <v>#VALUE!</v>
      </c>
      <c r="G508" t="e">
        <f t="shared" si="15"/>
        <v>#VALUE!</v>
      </c>
    </row>
    <row r="509" spans="1:7" hidden="1" x14ac:dyDescent="0.15">
      <c r="A509" t="s">
        <v>2541</v>
      </c>
      <c r="B509" s="15" t="str">
        <f>Screening!I509</f>
        <v>IQTR1861835558</v>
      </c>
      <c r="C509">
        <f>Screening!F509</f>
        <v>183.87</v>
      </c>
      <c r="D509">
        <f>Screening!L509</f>
        <v>58.47</v>
      </c>
      <c r="E509" t="str">
        <f>Screening!N509</f>
        <v>-</v>
      </c>
      <c r="F509" t="e">
        <f t="shared" si="14"/>
        <v>#VALUE!</v>
      </c>
      <c r="G509" t="e">
        <f t="shared" si="15"/>
        <v>#VALUE!</v>
      </c>
    </row>
    <row r="510" spans="1:7" hidden="1" x14ac:dyDescent="0.15">
      <c r="A510" t="s">
        <v>2542</v>
      </c>
      <c r="B510" s="15" t="str">
        <f>Screening!I510</f>
        <v>IQTR1758851268</v>
      </c>
      <c r="C510">
        <f>Screening!F510</f>
        <v>736</v>
      </c>
      <c r="D510">
        <f>Screening!L510</f>
        <v>58.1</v>
      </c>
      <c r="E510" t="str">
        <f>Screening!N510</f>
        <v>-</v>
      </c>
      <c r="F510" t="e">
        <f t="shared" si="14"/>
        <v>#VALUE!</v>
      </c>
      <c r="G510" t="e">
        <f t="shared" si="15"/>
        <v>#VALUE!</v>
      </c>
    </row>
    <row r="511" spans="1:7" hidden="1" x14ac:dyDescent="0.15">
      <c r="A511" t="s">
        <v>2543</v>
      </c>
      <c r="B511" s="15" t="str">
        <f>Screening!I511</f>
        <v>IQTR1967387486</v>
      </c>
      <c r="C511" t="str">
        <f>Screening!F511</f>
        <v>-</v>
      </c>
      <c r="D511">
        <f>Screening!L511</f>
        <v>58.04</v>
      </c>
      <c r="E511" t="str">
        <f>Screening!N511</f>
        <v>-</v>
      </c>
      <c r="F511" t="e">
        <f t="shared" si="14"/>
        <v>#VALUE!</v>
      </c>
      <c r="G511" t="e">
        <f t="shared" si="15"/>
        <v>#VALUE!</v>
      </c>
    </row>
    <row r="512" spans="1:7" hidden="1" x14ac:dyDescent="0.15">
      <c r="A512" t="s">
        <v>2544</v>
      </c>
      <c r="B512" s="15" t="str">
        <f>Screening!I512</f>
        <v>IQTR1783507828</v>
      </c>
      <c r="C512" t="str">
        <f>Screening!F512</f>
        <v>-</v>
      </c>
      <c r="D512">
        <f>Screening!L512</f>
        <v>58</v>
      </c>
      <c r="E512" t="str">
        <f>Screening!N512</f>
        <v>-</v>
      </c>
      <c r="F512" t="e">
        <f t="shared" si="14"/>
        <v>#VALUE!</v>
      </c>
      <c r="G512" t="e">
        <f t="shared" si="15"/>
        <v>#VALUE!</v>
      </c>
    </row>
    <row r="513" spans="1:7" hidden="1" x14ac:dyDescent="0.15">
      <c r="A513" t="s">
        <v>2545</v>
      </c>
      <c r="B513" s="15" t="str">
        <f>Screening!I513</f>
        <v>IQTR1761442565</v>
      </c>
      <c r="C513">
        <f>Screening!F513</f>
        <v>87.3</v>
      </c>
      <c r="D513">
        <f>Screening!L513</f>
        <v>58</v>
      </c>
      <c r="E513" t="str">
        <f>Screening!N513</f>
        <v>-</v>
      </c>
      <c r="F513" t="e">
        <f t="shared" si="14"/>
        <v>#VALUE!</v>
      </c>
      <c r="G513" t="e">
        <f t="shared" si="15"/>
        <v>#VALUE!</v>
      </c>
    </row>
    <row r="514" spans="1:7" hidden="1" x14ac:dyDescent="0.15">
      <c r="A514" t="s">
        <v>2546</v>
      </c>
      <c r="B514" s="15" t="str">
        <f>Screening!I514</f>
        <v>IQTR1821630456</v>
      </c>
      <c r="C514">
        <f>Screening!F514</f>
        <v>1.48</v>
      </c>
      <c r="D514">
        <f>Screening!L514</f>
        <v>57.92</v>
      </c>
      <c r="E514">
        <f>Screening!N514</f>
        <v>8.6199999999999992</v>
      </c>
      <c r="F514" s="16">
        <f t="shared" ref="F514:F549" si="16">C514/E514</f>
        <v>0.17169373549883993</v>
      </c>
      <c r="G514" s="16">
        <f>100*(E514/D514)</f>
        <v>14.882596685082872</v>
      </c>
    </row>
    <row r="515" spans="1:7" hidden="1" x14ac:dyDescent="0.15">
      <c r="A515" t="s">
        <v>2547</v>
      </c>
      <c r="B515" s="15" t="str">
        <f>Screening!I515</f>
        <v>IQTR1842411784</v>
      </c>
      <c r="C515">
        <f>Screening!F515</f>
        <v>78.900000000000006</v>
      </c>
      <c r="D515">
        <f>Screening!L515</f>
        <v>57.67</v>
      </c>
      <c r="E515" t="str">
        <f>Screening!N515</f>
        <v>-</v>
      </c>
      <c r="F515" t="e">
        <f t="shared" si="16"/>
        <v>#VALUE!</v>
      </c>
      <c r="G515" t="e">
        <f>E515/D515</f>
        <v>#VALUE!</v>
      </c>
    </row>
    <row r="516" spans="1:7" hidden="1" x14ac:dyDescent="0.15">
      <c r="A516" t="s">
        <v>2548</v>
      </c>
      <c r="B516" s="15" t="str">
        <f>Screening!I516</f>
        <v>IQTR1931261069</v>
      </c>
      <c r="C516">
        <f>Screening!F516</f>
        <v>273.17</v>
      </c>
      <c r="D516">
        <f>Screening!L516</f>
        <v>57.65</v>
      </c>
      <c r="E516">
        <f>Screening!N516</f>
        <v>4.2300000000000004</v>
      </c>
      <c r="F516" s="16">
        <f t="shared" si="16"/>
        <v>64.579196217494086</v>
      </c>
      <c r="G516" s="16">
        <f>100*(E516/D516)</f>
        <v>7.3373807458803135</v>
      </c>
    </row>
    <row r="517" spans="1:7" hidden="1" x14ac:dyDescent="0.15">
      <c r="A517" t="s">
        <v>2549</v>
      </c>
      <c r="B517" s="15" t="str">
        <f>Screening!I517</f>
        <v>IQTR1866139688</v>
      </c>
      <c r="C517">
        <f>Screening!F517</f>
        <v>184.26</v>
      </c>
      <c r="D517">
        <f>Screening!L517</f>
        <v>57.18</v>
      </c>
      <c r="E517">
        <f>Screening!N517</f>
        <v>4.0000000000000001E-3</v>
      </c>
      <c r="F517" s="16">
        <f t="shared" si="16"/>
        <v>46065</v>
      </c>
      <c r="G517" s="16">
        <f>100*(E517/D517)</f>
        <v>6.9954529555788731E-3</v>
      </c>
    </row>
    <row r="518" spans="1:7" hidden="1" x14ac:dyDescent="0.15">
      <c r="A518" t="s">
        <v>2550</v>
      </c>
      <c r="B518" s="15" t="str">
        <f>Screening!I518</f>
        <v>IQTR1680406374</v>
      </c>
      <c r="C518" t="str">
        <f>Screening!F518</f>
        <v>-</v>
      </c>
      <c r="D518">
        <f>Screening!L518</f>
        <v>57.18</v>
      </c>
      <c r="E518">
        <f>Screening!N518</f>
        <v>-9.25</v>
      </c>
      <c r="F518" t="e">
        <f t="shared" si="16"/>
        <v>#VALUE!</v>
      </c>
      <c r="G518">
        <f>E518/D518</f>
        <v>-0.16176984959776144</v>
      </c>
    </row>
    <row r="519" spans="1:7" hidden="1" x14ac:dyDescent="0.15">
      <c r="A519" t="s">
        <v>2551</v>
      </c>
      <c r="B519" s="15" t="str">
        <f>Screening!I519</f>
        <v>IQTR1881055802</v>
      </c>
      <c r="C519">
        <f>Screening!F519</f>
        <v>390.74</v>
      </c>
      <c r="D519">
        <f>Screening!L519</f>
        <v>56.66</v>
      </c>
      <c r="E519">
        <f>Screening!N519</f>
        <v>-6.25</v>
      </c>
      <c r="F519" s="16">
        <f t="shared" si="16"/>
        <v>-62.5184</v>
      </c>
      <c r="G519" s="16">
        <f>100*(E519/D519)</f>
        <v>-11.030709495234735</v>
      </c>
    </row>
    <row r="520" spans="1:7" hidden="1" x14ac:dyDescent="0.15">
      <c r="A520" t="s">
        <v>2552</v>
      </c>
      <c r="B520" s="15" t="str">
        <f>Screening!I520</f>
        <v>IQTR1877123260</v>
      </c>
      <c r="C520" t="str">
        <f>Screening!F520</f>
        <v>-</v>
      </c>
      <c r="D520">
        <f>Screening!L520</f>
        <v>56.52</v>
      </c>
      <c r="E520">
        <f>Screening!N520</f>
        <v>4.57</v>
      </c>
      <c r="F520" t="e">
        <f t="shared" si="16"/>
        <v>#VALUE!</v>
      </c>
      <c r="G520">
        <f>E520/D520</f>
        <v>8.0856334041047417E-2</v>
      </c>
    </row>
    <row r="521" spans="1:7" hidden="1" x14ac:dyDescent="0.15">
      <c r="A521" t="s">
        <v>2553</v>
      </c>
      <c r="B521" s="15" t="str">
        <f>Screening!I521</f>
        <v>IQTR1796903736</v>
      </c>
      <c r="C521">
        <f>Screening!F521</f>
        <v>18.440000000000001</v>
      </c>
      <c r="D521">
        <f>Screening!L521</f>
        <v>56.44</v>
      </c>
      <c r="E521" t="str">
        <f>Screening!N521</f>
        <v>-</v>
      </c>
      <c r="F521" t="e">
        <f t="shared" si="16"/>
        <v>#VALUE!</v>
      </c>
      <c r="G521" t="e">
        <f>E521/D521</f>
        <v>#VALUE!</v>
      </c>
    </row>
    <row r="522" spans="1:7" hidden="1" x14ac:dyDescent="0.15">
      <c r="A522" t="s">
        <v>2554</v>
      </c>
      <c r="B522" s="15" t="str">
        <f>Screening!I522</f>
        <v>IQTR1977013083</v>
      </c>
      <c r="C522">
        <f>Screening!F522</f>
        <v>998.92</v>
      </c>
      <c r="D522">
        <f>Screening!L522</f>
        <v>56.29</v>
      </c>
      <c r="E522" t="str">
        <f>Screening!N522</f>
        <v>-</v>
      </c>
      <c r="F522" t="e">
        <f t="shared" si="16"/>
        <v>#VALUE!</v>
      </c>
      <c r="G522" t="e">
        <f>E522/D522</f>
        <v>#VALUE!</v>
      </c>
    </row>
    <row r="523" spans="1:7" hidden="1" x14ac:dyDescent="0.15">
      <c r="A523" t="s">
        <v>2555</v>
      </c>
      <c r="B523" s="15" t="str">
        <f>Screening!I523</f>
        <v>IQTR1951861532</v>
      </c>
      <c r="C523">
        <f>Screening!F523</f>
        <v>243.05</v>
      </c>
      <c r="D523">
        <f>Screening!L523</f>
        <v>55.58</v>
      </c>
      <c r="E523">
        <f>Screening!N523</f>
        <v>9.7799999999999994</v>
      </c>
      <c r="F523" s="16">
        <f t="shared" si="16"/>
        <v>24.851738241308798</v>
      </c>
      <c r="G523" s="16">
        <f>100*(E523/D523)</f>
        <v>17.596257646635479</v>
      </c>
    </row>
    <row r="524" spans="1:7" hidden="1" x14ac:dyDescent="0.15">
      <c r="A524" t="s">
        <v>2556</v>
      </c>
      <c r="B524" s="15" t="str">
        <f>Screening!I524</f>
        <v>IQTR1904420588</v>
      </c>
      <c r="C524" t="str">
        <f>Screening!F524</f>
        <v>-</v>
      </c>
      <c r="D524">
        <f>Screening!L524</f>
        <v>55.01</v>
      </c>
      <c r="E524" t="str">
        <f>Screening!N524</f>
        <v>-</v>
      </c>
      <c r="F524" t="e">
        <f t="shared" si="16"/>
        <v>#VALUE!</v>
      </c>
      <c r="G524" t="e">
        <f>E524/D524</f>
        <v>#VALUE!</v>
      </c>
    </row>
    <row r="525" spans="1:7" hidden="1" x14ac:dyDescent="0.15">
      <c r="A525" t="s">
        <v>2557</v>
      </c>
      <c r="B525" s="15" t="str">
        <f>Screening!I525</f>
        <v>IQTR1962618940</v>
      </c>
      <c r="C525" t="str">
        <f>Screening!F525</f>
        <v>-</v>
      </c>
      <c r="D525">
        <f>Screening!L525</f>
        <v>54.92</v>
      </c>
      <c r="E525" t="str">
        <f>Screening!N525</f>
        <v>-</v>
      </c>
      <c r="F525" t="e">
        <f t="shared" si="16"/>
        <v>#VALUE!</v>
      </c>
      <c r="G525" t="e">
        <f>E525/D525</f>
        <v>#VALUE!</v>
      </c>
    </row>
    <row r="526" spans="1:7" x14ac:dyDescent="0.15">
      <c r="A526" t="s">
        <v>2558</v>
      </c>
      <c r="B526" s="15" t="str">
        <f>Screening!I526</f>
        <v>IQTR1963039166</v>
      </c>
      <c r="C526">
        <f>Screening!F526</f>
        <v>31.88</v>
      </c>
      <c r="D526">
        <f>Screening!L526</f>
        <v>54.7</v>
      </c>
      <c r="E526">
        <f>Screening!N526</f>
        <v>7.12</v>
      </c>
      <c r="F526" s="16">
        <f t="shared" si="16"/>
        <v>4.47752808988764</v>
      </c>
      <c r="G526" s="16">
        <f>100*(E526/D526)</f>
        <v>13.016453382084094</v>
      </c>
    </row>
    <row r="527" spans="1:7" hidden="1" x14ac:dyDescent="0.15">
      <c r="A527" t="s">
        <v>2559</v>
      </c>
      <c r="B527" s="15" t="str">
        <f>Screening!I527</f>
        <v>IQTR1685519803</v>
      </c>
      <c r="C527">
        <f>Screening!F527</f>
        <v>24.68</v>
      </c>
      <c r="D527">
        <f>Screening!L527</f>
        <v>54.67</v>
      </c>
      <c r="E527">
        <f>Screening!N527</f>
        <v>2.91</v>
      </c>
      <c r="F527" s="16">
        <f t="shared" si="16"/>
        <v>8.4810996563573884</v>
      </c>
      <c r="G527" s="16">
        <f>100*(E527/D527)</f>
        <v>5.322846167916591</v>
      </c>
    </row>
    <row r="528" spans="1:7" hidden="1" x14ac:dyDescent="0.15">
      <c r="A528" t="s">
        <v>2560</v>
      </c>
      <c r="B528" s="15" t="str">
        <f>Screening!I528</f>
        <v>IQTR1875715509</v>
      </c>
      <c r="C528" t="str">
        <f>Screening!F528</f>
        <v>-</v>
      </c>
      <c r="D528">
        <f>Screening!L528</f>
        <v>54.28</v>
      </c>
      <c r="E528" t="str">
        <f>Screening!N528</f>
        <v>-</v>
      </c>
      <c r="F528" t="e">
        <f t="shared" si="16"/>
        <v>#VALUE!</v>
      </c>
      <c r="G528" t="e">
        <f>E528/D528</f>
        <v>#VALUE!</v>
      </c>
    </row>
    <row r="529" spans="1:7" hidden="1" x14ac:dyDescent="0.15">
      <c r="A529" t="s">
        <v>2561</v>
      </c>
      <c r="B529" s="15" t="str">
        <f>Screening!I529</f>
        <v>IQTR1875597651</v>
      </c>
      <c r="C529" t="str">
        <f>Screening!F529</f>
        <v>-</v>
      </c>
      <c r="D529">
        <f>Screening!L529</f>
        <v>54.18</v>
      </c>
      <c r="E529" t="str">
        <f>Screening!N529</f>
        <v>-</v>
      </c>
      <c r="F529" t="e">
        <f t="shared" si="16"/>
        <v>#VALUE!</v>
      </c>
      <c r="G529" t="e">
        <f>E529/D529</f>
        <v>#VALUE!</v>
      </c>
    </row>
    <row r="530" spans="1:7" hidden="1" x14ac:dyDescent="0.15">
      <c r="A530" t="s">
        <v>2562</v>
      </c>
      <c r="B530" s="15" t="str">
        <f>Screening!I530</f>
        <v>IQTR1872054728</v>
      </c>
      <c r="C530">
        <f>Screening!F530</f>
        <v>64.790000000000006</v>
      </c>
      <c r="D530">
        <f>Screening!L530</f>
        <v>53.92</v>
      </c>
      <c r="E530" t="str">
        <f>Screening!N530</f>
        <v>-</v>
      </c>
      <c r="F530" t="e">
        <f t="shared" si="16"/>
        <v>#VALUE!</v>
      </c>
      <c r="G530" t="e">
        <f>E530/D530</f>
        <v>#VALUE!</v>
      </c>
    </row>
    <row r="531" spans="1:7" hidden="1" x14ac:dyDescent="0.15">
      <c r="A531" t="s">
        <v>2563</v>
      </c>
      <c r="B531" s="15" t="str">
        <f>Screening!I531</f>
        <v>IQTR1762667573</v>
      </c>
      <c r="C531">
        <f>Screening!F531</f>
        <v>53.62</v>
      </c>
      <c r="D531">
        <f>Screening!L531</f>
        <v>53.62</v>
      </c>
      <c r="E531">
        <f>Screening!N531</f>
        <v>0</v>
      </c>
      <c r="F531" t="e">
        <f t="shared" si="16"/>
        <v>#DIV/0!</v>
      </c>
      <c r="G531">
        <f>E531/D531</f>
        <v>0</v>
      </c>
    </row>
    <row r="532" spans="1:7" hidden="1" x14ac:dyDescent="0.15">
      <c r="A532" t="s">
        <v>2564</v>
      </c>
      <c r="B532" s="15" t="str">
        <f>Screening!I532</f>
        <v>IQTR1900708324</v>
      </c>
      <c r="C532">
        <f>Screening!F532</f>
        <v>67.61</v>
      </c>
      <c r="D532">
        <f>Screening!L532</f>
        <v>53.44</v>
      </c>
      <c r="E532">
        <f>Screening!N532</f>
        <v>1.02</v>
      </c>
      <c r="F532" s="16">
        <f t="shared" si="16"/>
        <v>66.284313725490193</v>
      </c>
      <c r="G532" s="16">
        <f>100*(E532/D532)</f>
        <v>1.908682634730539</v>
      </c>
    </row>
    <row r="533" spans="1:7" hidden="1" x14ac:dyDescent="0.15">
      <c r="A533" t="s">
        <v>2565</v>
      </c>
      <c r="B533" s="15" t="str">
        <f>Screening!I533</f>
        <v>IQTR1984161306</v>
      </c>
      <c r="C533" t="str">
        <f>Screening!F533</f>
        <v>-</v>
      </c>
      <c r="D533">
        <f>Screening!L533</f>
        <v>53.39</v>
      </c>
      <c r="E533">
        <f>Screening!N533</f>
        <v>9.76</v>
      </c>
      <c r="F533" t="e">
        <f t="shared" si="16"/>
        <v>#VALUE!</v>
      </c>
      <c r="G533">
        <f>E533/D533</f>
        <v>0.18280576887057501</v>
      </c>
    </row>
    <row r="534" spans="1:7" hidden="1" x14ac:dyDescent="0.15">
      <c r="A534" t="s">
        <v>2566</v>
      </c>
      <c r="B534" s="15" t="str">
        <f>Screening!I534</f>
        <v>IQTR1826862689</v>
      </c>
      <c r="C534" t="str">
        <f>Screening!F534</f>
        <v>-</v>
      </c>
      <c r="D534">
        <f>Screening!L534</f>
        <v>53.36</v>
      </c>
      <c r="E534">
        <f>Screening!N534</f>
        <v>19</v>
      </c>
      <c r="F534" t="e">
        <f t="shared" si="16"/>
        <v>#VALUE!</v>
      </c>
      <c r="G534">
        <f>E534/D534</f>
        <v>0.35607196401799102</v>
      </c>
    </row>
    <row r="535" spans="1:7" hidden="1" x14ac:dyDescent="0.15">
      <c r="A535" t="s">
        <v>2567</v>
      </c>
      <c r="B535" s="15" t="str">
        <f>Screening!I535</f>
        <v>IQTR1900633566</v>
      </c>
      <c r="C535">
        <f>Screening!F535</f>
        <v>123.35</v>
      </c>
      <c r="D535">
        <f>Screening!L535</f>
        <v>53.26</v>
      </c>
      <c r="E535" t="str">
        <f>Screening!N535</f>
        <v>-</v>
      </c>
      <c r="F535" t="e">
        <f t="shared" si="16"/>
        <v>#VALUE!</v>
      </c>
      <c r="G535" t="e">
        <f>E535/D535</f>
        <v>#VALUE!</v>
      </c>
    </row>
    <row r="536" spans="1:7" hidden="1" x14ac:dyDescent="0.15">
      <c r="A536" t="s">
        <v>2568</v>
      </c>
      <c r="B536" s="15" t="str">
        <f>Screening!I536</f>
        <v>IQTR1786873172</v>
      </c>
      <c r="C536">
        <f>Screening!F536</f>
        <v>4.0999999999999996</v>
      </c>
      <c r="D536">
        <f>Screening!L536</f>
        <v>53</v>
      </c>
      <c r="E536">
        <f>Screening!N536</f>
        <v>4.47</v>
      </c>
      <c r="F536" s="16">
        <f t="shared" si="16"/>
        <v>0.91722595078299773</v>
      </c>
      <c r="G536" s="16">
        <f>100*(E536/D536)</f>
        <v>8.433962264150944</v>
      </c>
    </row>
    <row r="537" spans="1:7" hidden="1" x14ac:dyDescent="0.15">
      <c r="A537" t="s">
        <v>2569</v>
      </c>
      <c r="B537" s="15" t="str">
        <f>Screening!I537</f>
        <v>IQTR1774934381</v>
      </c>
      <c r="C537">
        <f>Screening!F537</f>
        <v>638.29999999999995</v>
      </c>
      <c r="D537">
        <f>Screening!L537</f>
        <v>53</v>
      </c>
      <c r="E537" t="str">
        <f>Screening!N537</f>
        <v>-</v>
      </c>
      <c r="F537" t="e">
        <f t="shared" si="16"/>
        <v>#VALUE!</v>
      </c>
      <c r="G537" t="e">
        <f>E537/D537</f>
        <v>#VALUE!</v>
      </c>
    </row>
    <row r="538" spans="1:7" hidden="1" x14ac:dyDescent="0.15">
      <c r="A538" t="s">
        <v>2570</v>
      </c>
      <c r="B538" s="15" t="str">
        <f>Screening!I538</f>
        <v>IQTR1782203247</v>
      </c>
      <c r="C538">
        <f>Screening!F538</f>
        <v>26.03</v>
      </c>
      <c r="D538">
        <f>Screening!L538</f>
        <v>52.87</v>
      </c>
      <c r="E538" t="str">
        <f>Screening!N538</f>
        <v>-</v>
      </c>
      <c r="F538" t="e">
        <f t="shared" si="16"/>
        <v>#VALUE!</v>
      </c>
      <c r="G538" t="e">
        <f>E538/D538</f>
        <v>#VALUE!</v>
      </c>
    </row>
    <row r="539" spans="1:7" hidden="1" x14ac:dyDescent="0.15">
      <c r="A539" t="s">
        <v>2571</v>
      </c>
      <c r="B539" s="15" t="str">
        <f>Screening!I539</f>
        <v>IQTR1914256068</v>
      </c>
      <c r="C539" t="str">
        <f>Screening!F539</f>
        <v>-</v>
      </c>
      <c r="D539">
        <f>Screening!L539</f>
        <v>52.36</v>
      </c>
      <c r="E539" t="str">
        <f>Screening!N539</f>
        <v>-</v>
      </c>
      <c r="F539" t="e">
        <f t="shared" si="16"/>
        <v>#VALUE!</v>
      </c>
      <c r="G539" t="e">
        <f>E539/D539</f>
        <v>#VALUE!</v>
      </c>
    </row>
    <row r="540" spans="1:7" hidden="1" x14ac:dyDescent="0.15">
      <c r="A540" t="s">
        <v>2572</v>
      </c>
      <c r="B540" s="15" t="str">
        <f>Screening!I540</f>
        <v>IQTR1757441351</v>
      </c>
      <c r="C540">
        <f>Screening!F540</f>
        <v>51.5</v>
      </c>
      <c r="D540">
        <f>Screening!L540</f>
        <v>52.2</v>
      </c>
      <c r="E540" t="str">
        <f>Screening!N540</f>
        <v>-</v>
      </c>
      <c r="F540" t="e">
        <f t="shared" si="16"/>
        <v>#VALUE!</v>
      </c>
      <c r="G540" t="e">
        <f>E540/D540</f>
        <v>#VALUE!</v>
      </c>
    </row>
    <row r="541" spans="1:7" hidden="1" x14ac:dyDescent="0.15">
      <c r="A541" t="s">
        <v>2573</v>
      </c>
      <c r="B541" s="15" t="str">
        <f>Screening!I541</f>
        <v>IQTR1977195586</v>
      </c>
      <c r="C541" t="str">
        <f>Screening!F541</f>
        <v>-</v>
      </c>
      <c r="D541">
        <f>Screening!L541</f>
        <v>52</v>
      </c>
      <c r="E541" t="str">
        <f>Screening!N541</f>
        <v>-</v>
      </c>
      <c r="F541" t="e">
        <f t="shared" si="16"/>
        <v>#VALUE!</v>
      </c>
      <c r="G541" t="e">
        <f>E541/D541</f>
        <v>#VALUE!</v>
      </c>
    </row>
    <row r="542" spans="1:7" hidden="1" x14ac:dyDescent="0.15">
      <c r="A542" t="s">
        <v>2574</v>
      </c>
      <c r="B542" s="15" t="str">
        <f>Screening!I542</f>
        <v>IQTR1977505218</v>
      </c>
      <c r="C542">
        <f>Screening!F542</f>
        <v>20.100000000000001</v>
      </c>
      <c r="D542">
        <f>Screening!L542</f>
        <v>51.79</v>
      </c>
      <c r="E542">
        <f>Screening!N542</f>
        <v>-3.52</v>
      </c>
      <c r="F542" s="16">
        <f t="shared" si="16"/>
        <v>-5.7102272727272734</v>
      </c>
      <c r="G542" s="16">
        <f>100*(E542/D542)</f>
        <v>-6.7966788955396789</v>
      </c>
    </row>
    <row r="543" spans="1:7" hidden="1" x14ac:dyDescent="0.15">
      <c r="A543" t="s">
        <v>2575</v>
      </c>
      <c r="B543" s="15" t="str">
        <f>Screening!I543</f>
        <v>IQTR1881500557</v>
      </c>
      <c r="C543" t="str">
        <f>Screening!F543</f>
        <v>-</v>
      </c>
      <c r="D543">
        <f>Screening!L543</f>
        <v>51.75</v>
      </c>
      <c r="E543">
        <f>Screening!N543</f>
        <v>-13.1</v>
      </c>
      <c r="F543" t="e">
        <f t="shared" si="16"/>
        <v>#VALUE!</v>
      </c>
      <c r="G543">
        <f>E543/D543</f>
        <v>-0.25314009661835746</v>
      </c>
    </row>
    <row r="544" spans="1:7" hidden="1" x14ac:dyDescent="0.15">
      <c r="A544" t="s">
        <v>2576</v>
      </c>
      <c r="B544" s="15" t="str">
        <f>Screening!I544</f>
        <v>IQTR1758402185</v>
      </c>
      <c r="C544">
        <f>Screening!F544</f>
        <v>9.86</v>
      </c>
      <c r="D544">
        <f>Screening!L544</f>
        <v>51.62</v>
      </c>
      <c r="E544">
        <f>Screening!N544</f>
        <v>4.47</v>
      </c>
      <c r="F544" s="16">
        <f t="shared" si="16"/>
        <v>2.2058165548098434</v>
      </c>
      <c r="G544" s="16">
        <f>100*(E544/D544)</f>
        <v>8.6594343277799304</v>
      </c>
    </row>
    <row r="545" spans="1:7" hidden="1" x14ac:dyDescent="0.15">
      <c r="A545" t="s">
        <v>2577</v>
      </c>
      <c r="B545" s="15" t="str">
        <f>Screening!I545</f>
        <v>IQTR1785415321</v>
      </c>
      <c r="C545">
        <f>Screening!F545</f>
        <v>449.69</v>
      </c>
      <c r="D545">
        <f>Screening!L545</f>
        <v>51.53</v>
      </c>
      <c r="E545" t="str">
        <f>Screening!N545</f>
        <v>-</v>
      </c>
      <c r="F545" t="e">
        <f t="shared" si="16"/>
        <v>#VALUE!</v>
      </c>
      <c r="G545" t="e">
        <f>E545/D545</f>
        <v>#VALUE!</v>
      </c>
    </row>
    <row r="546" spans="1:7" hidden="1" x14ac:dyDescent="0.15">
      <c r="A546" t="s">
        <v>2578</v>
      </c>
      <c r="B546" s="15" t="str">
        <f>Screening!I546</f>
        <v>IQTR1793561034</v>
      </c>
      <c r="C546">
        <f>Screening!F546</f>
        <v>25.4</v>
      </c>
      <c r="D546">
        <f>Screening!L546</f>
        <v>50.81</v>
      </c>
      <c r="E546">
        <f>Screening!N546</f>
        <v>0.215</v>
      </c>
      <c r="F546" s="16">
        <f t="shared" si="16"/>
        <v>118.13953488372093</v>
      </c>
      <c r="G546" s="16">
        <f>100*(E546/D546)</f>
        <v>0.42314505018697102</v>
      </c>
    </row>
    <row r="547" spans="1:7" hidden="1" x14ac:dyDescent="0.15">
      <c r="A547" t="s">
        <v>2579</v>
      </c>
      <c r="B547" s="15" t="str">
        <f>Screening!I547</f>
        <v>IQTR1828974006</v>
      </c>
      <c r="C547">
        <f>Screening!F547</f>
        <v>164.34</v>
      </c>
      <c r="D547">
        <f>Screening!L547</f>
        <v>50.6</v>
      </c>
      <c r="E547" t="str">
        <f>Screening!N547</f>
        <v>-</v>
      </c>
      <c r="F547" t="e">
        <f t="shared" si="16"/>
        <v>#VALUE!</v>
      </c>
      <c r="G547" t="e">
        <f>E547/D547</f>
        <v>#VALUE!</v>
      </c>
    </row>
    <row r="548" spans="1:7" hidden="1" x14ac:dyDescent="0.15">
      <c r="A548" t="s">
        <v>2580</v>
      </c>
      <c r="B548" s="15" t="str">
        <f>Screening!I548</f>
        <v>IQTR1986334864</v>
      </c>
      <c r="C548">
        <f>Screening!F548</f>
        <v>20</v>
      </c>
      <c r="D548">
        <f>Screening!L548</f>
        <v>50.5</v>
      </c>
      <c r="E548" t="str">
        <f>Screening!N548</f>
        <v>-</v>
      </c>
      <c r="F548" t="e">
        <f t="shared" si="16"/>
        <v>#VALUE!</v>
      </c>
      <c r="G548" t="e">
        <f>E548/D548</f>
        <v>#VALUE!</v>
      </c>
    </row>
    <row r="549" spans="1:7" hidden="1" x14ac:dyDescent="0.15">
      <c r="A549" t="s">
        <v>2581</v>
      </c>
      <c r="B549" s="15" t="str">
        <f>Screening!I549</f>
        <v>IQTR1943293499</v>
      </c>
      <c r="C549">
        <f>Screening!F549</f>
        <v>62.19</v>
      </c>
      <c r="D549">
        <f>Screening!L549</f>
        <v>50.36</v>
      </c>
      <c r="E549">
        <f>Screening!N549</f>
        <v>-9.67</v>
      </c>
      <c r="F549" s="16">
        <f t="shared" si="16"/>
        <v>-6.4312306101344365</v>
      </c>
      <c r="G549" s="16">
        <f>100*(E549/D549)</f>
        <v>-19.20174741858618</v>
      </c>
    </row>
    <row r="550" spans="1:7" x14ac:dyDescent="0.15">
      <c r="B550" s="15"/>
    </row>
    <row r="551" spans="1:7" x14ac:dyDescent="0.15">
      <c r="B551" s="15"/>
    </row>
    <row r="552" spans="1:7" x14ac:dyDescent="0.15">
      <c r="B552" s="15"/>
    </row>
    <row r="553" spans="1:7" x14ac:dyDescent="0.15">
      <c r="B553" s="15"/>
    </row>
    <row r="554" spans="1:7" x14ac:dyDescent="0.15">
      <c r="B554" s="15"/>
    </row>
    <row r="555" spans="1:7" x14ac:dyDescent="0.15">
      <c r="B555" s="15"/>
    </row>
    <row r="556" spans="1:7" x14ac:dyDescent="0.15">
      <c r="B556" s="15"/>
    </row>
    <row r="557" spans="1:7" x14ac:dyDescent="0.15">
      <c r="B557" s="15"/>
    </row>
    <row r="558" spans="1:7" x14ac:dyDescent="0.15">
      <c r="B558" s="15"/>
    </row>
    <row r="559" spans="1:7" x14ac:dyDescent="0.15">
      <c r="B559" s="15"/>
    </row>
    <row r="560" spans="1:7" x14ac:dyDescent="0.15">
      <c r="B560" s="15"/>
    </row>
    <row r="561" spans="2:2" x14ac:dyDescent="0.15">
      <c r="B561" s="15"/>
    </row>
    <row r="562" spans="2:2" x14ac:dyDescent="0.15">
      <c r="B562" s="15"/>
    </row>
    <row r="563" spans="2:2" x14ac:dyDescent="0.15">
      <c r="B563" s="15"/>
    </row>
    <row r="564" spans="2:2" x14ac:dyDescent="0.15">
      <c r="B564" s="15"/>
    </row>
    <row r="565" spans="2:2" x14ac:dyDescent="0.15">
      <c r="B565" s="15"/>
    </row>
    <row r="566" spans="2:2" x14ac:dyDescent="0.15">
      <c r="B566" s="15"/>
    </row>
    <row r="567" spans="2:2" x14ac:dyDescent="0.15">
      <c r="B567" s="15"/>
    </row>
    <row r="568" spans="2:2" x14ac:dyDescent="0.15">
      <c r="B568" s="15"/>
    </row>
    <row r="569" spans="2:2" x14ac:dyDescent="0.15">
      <c r="B569" s="15"/>
    </row>
    <row r="570" spans="2:2" x14ac:dyDescent="0.15">
      <c r="B570" s="15"/>
    </row>
    <row r="571" spans="2:2" x14ac:dyDescent="0.15">
      <c r="B571" s="15"/>
    </row>
    <row r="572" spans="2:2" x14ac:dyDescent="0.15">
      <c r="B572" s="15"/>
    </row>
    <row r="573" spans="2:2" x14ac:dyDescent="0.15">
      <c r="B573" s="15"/>
    </row>
    <row r="574" spans="2:2" x14ac:dyDescent="0.15">
      <c r="B574" s="15"/>
    </row>
    <row r="575" spans="2:2" x14ac:dyDescent="0.15">
      <c r="B575" s="15"/>
    </row>
    <row r="576" spans="2:2" x14ac:dyDescent="0.15">
      <c r="B576" s="15"/>
    </row>
    <row r="577" spans="2:2" x14ac:dyDescent="0.15">
      <c r="B577" s="15"/>
    </row>
    <row r="578" spans="2:2" x14ac:dyDescent="0.15">
      <c r="B578" s="15"/>
    </row>
    <row r="579" spans="2:2" x14ac:dyDescent="0.15">
      <c r="B579" s="15"/>
    </row>
    <row r="580" spans="2:2" x14ac:dyDescent="0.15">
      <c r="B580" s="15"/>
    </row>
    <row r="581" spans="2:2" x14ac:dyDescent="0.15">
      <c r="B581" s="15"/>
    </row>
    <row r="582" spans="2:2" x14ac:dyDescent="0.15">
      <c r="B582" s="15"/>
    </row>
    <row r="583" spans="2:2" x14ac:dyDescent="0.15">
      <c r="B583" s="15"/>
    </row>
    <row r="584" spans="2:2" x14ac:dyDescent="0.15">
      <c r="B584" s="15"/>
    </row>
    <row r="585" spans="2:2" x14ac:dyDescent="0.15">
      <c r="B585" s="15"/>
    </row>
    <row r="586" spans="2:2" x14ac:dyDescent="0.15">
      <c r="B586" s="15"/>
    </row>
    <row r="587" spans="2:2" x14ac:dyDescent="0.15">
      <c r="B587" s="15"/>
    </row>
    <row r="588" spans="2:2" x14ac:dyDescent="0.15">
      <c r="B588" s="15"/>
    </row>
    <row r="589" spans="2:2" x14ac:dyDescent="0.15">
      <c r="B589" s="15"/>
    </row>
    <row r="590" spans="2:2" x14ac:dyDescent="0.15">
      <c r="B590" s="15"/>
    </row>
    <row r="591" spans="2:2" x14ac:dyDescent="0.15">
      <c r="B591" s="15"/>
    </row>
    <row r="592" spans="2:2" x14ac:dyDescent="0.15">
      <c r="B592" s="15"/>
    </row>
    <row r="593" spans="2:2" x14ac:dyDescent="0.15">
      <c r="B593" s="15"/>
    </row>
    <row r="594" spans="2:2" x14ac:dyDescent="0.15">
      <c r="B594" s="15"/>
    </row>
    <row r="595" spans="2:2" x14ac:dyDescent="0.15">
      <c r="B595" s="15"/>
    </row>
    <row r="596" spans="2:2" x14ac:dyDescent="0.15">
      <c r="B596" s="15"/>
    </row>
    <row r="597" spans="2:2" x14ac:dyDescent="0.15">
      <c r="B597" s="15"/>
    </row>
    <row r="598" spans="2:2" x14ac:dyDescent="0.15">
      <c r="B598" s="15"/>
    </row>
    <row r="599" spans="2:2" x14ac:dyDescent="0.15">
      <c r="B599" s="15"/>
    </row>
    <row r="600" spans="2:2" x14ac:dyDescent="0.15">
      <c r="B600" s="15"/>
    </row>
    <row r="601" spans="2:2" x14ac:dyDescent="0.15">
      <c r="B601" s="15"/>
    </row>
    <row r="602" spans="2:2" x14ac:dyDescent="0.15">
      <c r="B602" s="15"/>
    </row>
    <row r="603" spans="2:2" x14ac:dyDescent="0.15">
      <c r="B603" s="15"/>
    </row>
    <row r="604" spans="2:2" x14ac:dyDescent="0.15">
      <c r="B604" s="15"/>
    </row>
    <row r="605" spans="2:2" x14ac:dyDescent="0.15">
      <c r="B605" s="15"/>
    </row>
    <row r="606" spans="2:2" x14ac:dyDescent="0.15">
      <c r="B606" s="15"/>
    </row>
    <row r="607" spans="2:2" x14ac:dyDescent="0.15">
      <c r="B607" s="15"/>
    </row>
    <row r="608" spans="2:2" x14ac:dyDescent="0.15">
      <c r="B608" s="15"/>
    </row>
    <row r="609" spans="2:2" x14ac:dyDescent="0.15">
      <c r="B609" s="15"/>
    </row>
    <row r="610" spans="2:2" x14ac:dyDescent="0.15">
      <c r="B610" s="15"/>
    </row>
    <row r="611" spans="2:2" x14ac:dyDescent="0.15">
      <c r="B611" s="15"/>
    </row>
    <row r="612" spans="2:2" x14ac:dyDescent="0.15">
      <c r="B612" s="15"/>
    </row>
    <row r="613" spans="2:2" x14ac:dyDescent="0.15">
      <c r="B613" s="15"/>
    </row>
    <row r="614" spans="2:2" x14ac:dyDescent="0.15">
      <c r="B614" s="15"/>
    </row>
    <row r="615" spans="2:2" x14ac:dyDescent="0.15">
      <c r="B615" s="15"/>
    </row>
    <row r="616" spans="2:2" x14ac:dyDescent="0.15">
      <c r="B616" s="15"/>
    </row>
    <row r="617" spans="2:2" x14ac:dyDescent="0.15">
      <c r="B617" s="15"/>
    </row>
    <row r="618" spans="2:2" x14ac:dyDescent="0.15">
      <c r="B618" s="15"/>
    </row>
    <row r="619" spans="2:2" x14ac:dyDescent="0.15">
      <c r="B619" s="15"/>
    </row>
    <row r="620" spans="2:2" x14ac:dyDescent="0.15">
      <c r="B620" s="15"/>
    </row>
    <row r="621" spans="2:2" x14ac:dyDescent="0.15">
      <c r="B621" s="15"/>
    </row>
    <row r="622" spans="2:2" x14ac:dyDescent="0.15">
      <c r="B622" s="15"/>
    </row>
    <row r="623" spans="2:2" x14ac:dyDescent="0.15">
      <c r="B623" s="15"/>
    </row>
    <row r="624" spans="2:2" x14ac:dyDescent="0.15">
      <c r="B624" s="15"/>
    </row>
    <row r="625" spans="2:2" x14ac:dyDescent="0.15">
      <c r="B625" s="15"/>
    </row>
    <row r="626" spans="2:2" x14ac:dyDescent="0.15">
      <c r="B626" s="15"/>
    </row>
    <row r="627" spans="2:2" x14ac:dyDescent="0.15">
      <c r="B627" s="15"/>
    </row>
    <row r="628" spans="2:2" x14ac:dyDescent="0.15">
      <c r="B628" s="15"/>
    </row>
    <row r="629" spans="2:2" x14ac:dyDescent="0.15">
      <c r="B629" s="15"/>
    </row>
    <row r="630" spans="2:2" x14ac:dyDescent="0.15">
      <c r="B630" s="15"/>
    </row>
    <row r="631" spans="2:2" x14ac:dyDescent="0.15">
      <c r="B631" s="15"/>
    </row>
    <row r="632" spans="2:2" x14ac:dyDescent="0.15">
      <c r="B632" s="15"/>
    </row>
    <row r="633" spans="2:2" x14ac:dyDescent="0.15">
      <c r="B633" s="15"/>
    </row>
    <row r="634" spans="2:2" x14ac:dyDescent="0.15">
      <c r="B634" s="15"/>
    </row>
    <row r="635" spans="2:2" x14ac:dyDescent="0.15">
      <c r="B635" s="15"/>
    </row>
    <row r="636" spans="2:2" x14ac:dyDescent="0.15">
      <c r="B636" s="15"/>
    </row>
    <row r="637" spans="2:2" x14ac:dyDescent="0.15">
      <c r="B637" s="15"/>
    </row>
    <row r="638" spans="2:2" x14ac:dyDescent="0.15">
      <c r="B638" s="15"/>
    </row>
    <row r="639" spans="2:2" x14ac:dyDescent="0.15">
      <c r="B639" s="15"/>
    </row>
    <row r="640" spans="2:2" x14ac:dyDescent="0.15">
      <c r="B640" s="15"/>
    </row>
    <row r="641" spans="2:2" x14ac:dyDescent="0.15">
      <c r="B641" s="15"/>
    </row>
    <row r="642" spans="2:2" x14ac:dyDescent="0.15">
      <c r="B642" s="15"/>
    </row>
    <row r="643" spans="2:2" x14ac:dyDescent="0.15">
      <c r="B643" s="15"/>
    </row>
    <row r="644" spans="2:2" x14ac:dyDescent="0.15">
      <c r="B644" s="15"/>
    </row>
    <row r="645" spans="2:2" x14ac:dyDescent="0.15">
      <c r="B645" s="15"/>
    </row>
    <row r="646" spans="2:2" x14ac:dyDescent="0.15">
      <c r="B646" s="15"/>
    </row>
    <row r="647" spans="2:2" x14ac:dyDescent="0.15">
      <c r="B647" s="15"/>
    </row>
    <row r="648" spans="2:2" x14ac:dyDescent="0.15">
      <c r="B648" s="15"/>
    </row>
    <row r="649" spans="2:2" x14ac:dyDescent="0.15">
      <c r="B649" s="15"/>
    </row>
    <row r="650" spans="2:2" x14ac:dyDescent="0.15">
      <c r="B650" s="15"/>
    </row>
    <row r="651" spans="2:2" x14ac:dyDescent="0.15">
      <c r="B651" s="15"/>
    </row>
    <row r="652" spans="2:2" x14ac:dyDescent="0.15">
      <c r="B652" s="15"/>
    </row>
    <row r="653" spans="2:2" x14ac:dyDescent="0.15">
      <c r="B653" s="15"/>
    </row>
    <row r="654" spans="2:2" x14ac:dyDescent="0.15">
      <c r="B654" s="15"/>
    </row>
    <row r="655" spans="2:2" x14ac:dyDescent="0.15">
      <c r="B655" s="15"/>
    </row>
    <row r="656" spans="2:2" x14ac:dyDescent="0.15">
      <c r="B656" s="15"/>
    </row>
    <row r="657" spans="2:2" x14ac:dyDescent="0.15">
      <c r="B657" s="15"/>
    </row>
    <row r="658" spans="2:2" x14ac:dyDescent="0.15">
      <c r="B658" s="15"/>
    </row>
    <row r="659" spans="2:2" x14ac:dyDescent="0.15">
      <c r="B659" s="15"/>
    </row>
    <row r="660" spans="2:2" x14ac:dyDescent="0.15">
      <c r="B660" s="15"/>
    </row>
    <row r="661" spans="2:2" x14ac:dyDescent="0.15">
      <c r="B661" s="15"/>
    </row>
    <row r="662" spans="2:2" x14ac:dyDescent="0.15">
      <c r="B662" s="15"/>
    </row>
    <row r="663" spans="2:2" x14ac:dyDescent="0.15">
      <c r="B663" s="15"/>
    </row>
    <row r="664" spans="2:2" x14ac:dyDescent="0.15">
      <c r="B664" s="15"/>
    </row>
    <row r="665" spans="2:2" x14ac:dyDescent="0.15">
      <c r="B665" s="15"/>
    </row>
    <row r="666" spans="2:2" x14ac:dyDescent="0.15">
      <c r="B666" s="15"/>
    </row>
    <row r="667" spans="2:2" x14ac:dyDescent="0.15">
      <c r="B667" s="15"/>
    </row>
    <row r="668" spans="2:2" x14ac:dyDescent="0.15">
      <c r="B668" s="15"/>
    </row>
    <row r="669" spans="2:2" x14ac:dyDescent="0.15">
      <c r="B669" s="15"/>
    </row>
    <row r="670" spans="2:2" x14ac:dyDescent="0.15">
      <c r="B670" s="15"/>
    </row>
    <row r="671" spans="2:2" x14ac:dyDescent="0.15">
      <c r="B671" s="15"/>
    </row>
    <row r="672" spans="2:2" x14ac:dyDescent="0.15">
      <c r="B672" s="15"/>
    </row>
    <row r="673" spans="2:2" x14ac:dyDescent="0.15">
      <c r="B673" s="15"/>
    </row>
    <row r="674" spans="2:2" x14ac:dyDescent="0.15">
      <c r="B674" s="15"/>
    </row>
    <row r="675" spans="2:2" x14ac:dyDescent="0.15">
      <c r="B675" s="15"/>
    </row>
    <row r="676" spans="2:2" x14ac:dyDescent="0.15">
      <c r="B676" s="15"/>
    </row>
    <row r="677" spans="2:2" x14ac:dyDescent="0.15">
      <c r="B677" s="15"/>
    </row>
    <row r="678" spans="2:2" x14ac:dyDescent="0.15">
      <c r="B678" s="15"/>
    </row>
    <row r="679" spans="2:2" x14ac:dyDescent="0.15">
      <c r="B679" s="15"/>
    </row>
    <row r="680" spans="2:2" x14ac:dyDescent="0.15">
      <c r="B680" s="15"/>
    </row>
    <row r="681" spans="2:2" x14ac:dyDescent="0.15">
      <c r="B681" s="15"/>
    </row>
    <row r="682" spans="2:2" x14ac:dyDescent="0.15">
      <c r="B682" s="15"/>
    </row>
    <row r="683" spans="2:2" x14ac:dyDescent="0.15">
      <c r="B683" s="15"/>
    </row>
    <row r="684" spans="2:2" x14ac:dyDescent="0.15">
      <c r="B684" s="15"/>
    </row>
    <row r="685" spans="2:2" x14ac:dyDescent="0.15">
      <c r="B685" s="15"/>
    </row>
    <row r="686" spans="2:2" x14ac:dyDescent="0.15">
      <c r="B686" s="15"/>
    </row>
    <row r="687" spans="2:2" x14ac:dyDescent="0.15">
      <c r="B687" s="15"/>
    </row>
    <row r="688" spans="2:2" x14ac:dyDescent="0.15">
      <c r="B688" s="15"/>
    </row>
    <row r="689" spans="2:2" x14ac:dyDescent="0.15">
      <c r="B689" s="15"/>
    </row>
    <row r="690" spans="2:2" x14ac:dyDescent="0.15">
      <c r="B690" s="15"/>
    </row>
    <row r="691" spans="2:2" x14ac:dyDescent="0.15">
      <c r="B691" s="15"/>
    </row>
    <row r="692" spans="2:2" x14ac:dyDescent="0.15">
      <c r="B692" s="15"/>
    </row>
    <row r="693" spans="2:2" x14ac:dyDescent="0.15">
      <c r="B693" s="15"/>
    </row>
    <row r="694" spans="2:2" x14ac:dyDescent="0.15">
      <c r="B694" s="15"/>
    </row>
    <row r="695" spans="2:2" x14ac:dyDescent="0.15">
      <c r="B695" s="15"/>
    </row>
    <row r="696" spans="2:2" x14ac:dyDescent="0.15">
      <c r="B696" s="15"/>
    </row>
    <row r="697" spans="2:2" x14ac:dyDescent="0.15">
      <c r="B697" s="15"/>
    </row>
    <row r="698" spans="2:2" x14ac:dyDescent="0.15">
      <c r="B698" s="15"/>
    </row>
    <row r="699" spans="2:2" x14ac:dyDescent="0.15">
      <c r="B699" s="15"/>
    </row>
    <row r="700" spans="2:2" x14ac:dyDescent="0.15">
      <c r="B700" s="15"/>
    </row>
    <row r="701" spans="2:2" x14ac:dyDescent="0.15">
      <c r="B701" s="15"/>
    </row>
    <row r="702" spans="2:2" x14ac:dyDescent="0.15">
      <c r="B702" s="15"/>
    </row>
    <row r="703" spans="2:2" x14ac:dyDescent="0.15">
      <c r="B703" s="15"/>
    </row>
    <row r="704" spans="2:2" x14ac:dyDescent="0.15">
      <c r="B704" s="15"/>
    </row>
    <row r="705" spans="2:2" x14ac:dyDescent="0.15">
      <c r="B705" s="15"/>
    </row>
    <row r="706" spans="2:2" x14ac:dyDescent="0.15">
      <c r="B706" s="15"/>
    </row>
    <row r="707" spans="2:2" x14ac:dyDescent="0.15">
      <c r="B707" s="15"/>
    </row>
    <row r="708" spans="2:2" x14ac:dyDescent="0.15">
      <c r="B708" s="15"/>
    </row>
    <row r="709" spans="2:2" x14ac:dyDescent="0.15">
      <c r="B709" s="15"/>
    </row>
    <row r="710" spans="2:2" x14ac:dyDescent="0.15">
      <c r="B710" s="15"/>
    </row>
    <row r="711" spans="2:2" x14ac:dyDescent="0.15">
      <c r="B711" s="15"/>
    </row>
    <row r="712" spans="2:2" x14ac:dyDescent="0.15">
      <c r="B712" s="15"/>
    </row>
    <row r="713" spans="2:2" x14ac:dyDescent="0.15">
      <c r="B713" s="15"/>
    </row>
    <row r="714" spans="2:2" x14ac:dyDescent="0.15">
      <c r="B714" s="15"/>
    </row>
    <row r="715" spans="2:2" x14ac:dyDescent="0.15">
      <c r="B715" s="15"/>
    </row>
    <row r="716" spans="2:2" x14ac:dyDescent="0.15">
      <c r="B716" s="15"/>
    </row>
    <row r="717" spans="2:2" x14ac:dyDescent="0.15">
      <c r="B717" s="15"/>
    </row>
    <row r="718" spans="2:2" x14ac:dyDescent="0.15">
      <c r="B718" s="15"/>
    </row>
    <row r="719" spans="2:2" x14ac:dyDescent="0.15">
      <c r="B719" s="15"/>
    </row>
    <row r="720" spans="2:2" x14ac:dyDescent="0.15">
      <c r="B720" s="15"/>
    </row>
    <row r="721" spans="2:2" x14ac:dyDescent="0.15">
      <c r="B721" s="15"/>
    </row>
    <row r="722" spans="2:2" x14ac:dyDescent="0.15">
      <c r="B722" s="15"/>
    </row>
    <row r="723" spans="2:2" x14ac:dyDescent="0.15">
      <c r="B723" s="15"/>
    </row>
    <row r="724" spans="2:2" x14ac:dyDescent="0.15">
      <c r="B724" s="15"/>
    </row>
    <row r="725" spans="2:2" x14ac:dyDescent="0.15">
      <c r="B725" s="15"/>
    </row>
    <row r="726" spans="2:2" x14ac:dyDescent="0.15">
      <c r="B726" s="15"/>
    </row>
    <row r="727" spans="2:2" x14ac:dyDescent="0.15">
      <c r="B727" s="15"/>
    </row>
    <row r="728" spans="2:2" x14ac:dyDescent="0.15">
      <c r="B728" s="15"/>
    </row>
    <row r="729" spans="2:2" x14ac:dyDescent="0.15">
      <c r="B729" s="15"/>
    </row>
    <row r="730" spans="2:2" x14ac:dyDescent="0.15">
      <c r="B730" s="15"/>
    </row>
    <row r="731" spans="2:2" x14ac:dyDescent="0.15">
      <c r="B731" s="15"/>
    </row>
    <row r="732" spans="2:2" x14ac:dyDescent="0.15">
      <c r="B732" s="15"/>
    </row>
    <row r="733" spans="2:2" x14ac:dyDescent="0.15">
      <c r="B733" s="15"/>
    </row>
    <row r="734" spans="2:2" x14ac:dyDescent="0.15">
      <c r="B734" s="15"/>
    </row>
    <row r="735" spans="2:2" x14ac:dyDescent="0.15">
      <c r="B735" s="15"/>
    </row>
    <row r="736" spans="2:2" x14ac:dyDescent="0.15">
      <c r="B736" s="15"/>
    </row>
    <row r="737" spans="2:2" x14ac:dyDescent="0.15">
      <c r="B737" s="15"/>
    </row>
    <row r="738" spans="2:2" x14ac:dyDescent="0.15">
      <c r="B738" s="15"/>
    </row>
    <row r="739" spans="2:2" x14ac:dyDescent="0.15">
      <c r="B739" s="15"/>
    </row>
    <row r="740" spans="2:2" x14ac:dyDescent="0.15">
      <c r="B740" s="15"/>
    </row>
    <row r="741" spans="2:2" x14ac:dyDescent="0.15">
      <c r="B741" s="15"/>
    </row>
    <row r="742" spans="2:2" x14ac:dyDescent="0.15">
      <c r="B742" s="15"/>
    </row>
    <row r="743" spans="2:2" x14ac:dyDescent="0.15">
      <c r="B743" s="15"/>
    </row>
    <row r="744" spans="2:2" x14ac:dyDescent="0.15">
      <c r="B744" s="15"/>
    </row>
    <row r="745" spans="2:2" x14ac:dyDescent="0.15">
      <c r="B745" s="15"/>
    </row>
    <row r="746" spans="2:2" x14ac:dyDescent="0.15">
      <c r="B746" s="15"/>
    </row>
    <row r="747" spans="2:2" x14ac:dyDescent="0.15">
      <c r="B747" s="15"/>
    </row>
    <row r="748" spans="2:2" x14ac:dyDescent="0.15">
      <c r="B748" s="15"/>
    </row>
    <row r="749" spans="2:2" x14ac:dyDescent="0.15">
      <c r="B749" s="15"/>
    </row>
    <row r="750" spans="2:2" x14ac:dyDescent="0.15">
      <c r="B750" s="15"/>
    </row>
    <row r="751" spans="2:2" x14ac:dyDescent="0.15">
      <c r="B751" s="15"/>
    </row>
    <row r="752" spans="2:2" x14ac:dyDescent="0.15">
      <c r="B752" s="15"/>
    </row>
    <row r="753" spans="2:2" x14ac:dyDescent="0.15">
      <c r="B753" s="15"/>
    </row>
    <row r="754" spans="2:2" x14ac:dyDescent="0.15">
      <c r="B754" s="15"/>
    </row>
    <row r="755" spans="2:2" x14ac:dyDescent="0.15">
      <c r="B755" s="15"/>
    </row>
    <row r="756" spans="2:2" x14ac:dyDescent="0.15">
      <c r="B756" s="15"/>
    </row>
    <row r="757" spans="2:2" x14ac:dyDescent="0.15">
      <c r="B757" s="15"/>
    </row>
    <row r="758" spans="2:2" x14ac:dyDescent="0.15">
      <c r="B758" s="15"/>
    </row>
    <row r="759" spans="2:2" x14ac:dyDescent="0.15">
      <c r="B759" s="15"/>
    </row>
    <row r="760" spans="2:2" x14ac:dyDescent="0.15">
      <c r="B760" s="15"/>
    </row>
    <row r="761" spans="2:2" x14ac:dyDescent="0.15">
      <c r="B761" s="15"/>
    </row>
    <row r="762" spans="2:2" x14ac:dyDescent="0.15">
      <c r="B762" s="15"/>
    </row>
    <row r="763" spans="2:2" x14ac:dyDescent="0.15">
      <c r="B763" s="15"/>
    </row>
    <row r="764" spans="2:2" x14ac:dyDescent="0.15">
      <c r="B764" s="15"/>
    </row>
    <row r="765" spans="2:2" x14ac:dyDescent="0.15">
      <c r="B765" s="15"/>
    </row>
    <row r="766" spans="2:2" x14ac:dyDescent="0.15">
      <c r="B766" s="15"/>
    </row>
    <row r="767" spans="2:2" x14ac:dyDescent="0.15">
      <c r="B767" s="15"/>
    </row>
    <row r="768" spans="2:2" x14ac:dyDescent="0.15">
      <c r="B768" s="15"/>
    </row>
    <row r="769" spans="2:2" x14ac:dyDescent="0.15">
      <c r="B769" s="15"/>
    </row>
    <row r="770" spans="2:2" x14ac:dyDescent="0.15">
      <c r="B770" s="15"/>
    </row>
    <row r="771" spans="2:2" x14ac:dyDescent="0.15">
      <c r="B771" s="15"/>
    </row>
    <row r="772" spans="2:2" x14ac:dyDescent="0.15">
      <c r="B772" s="15"/>
    </row>
    <row r="773" spans="2:2" x14ac:dyDescent="0.15">
      <c r="B773" s="15"/>
    </row>
    <row r="774" spans="2:2" x14ac:dyDescent="0.15">
      <c r="B774" s="15"/>
    </row>
    <row r="775" spans="2:2" x14ac:dyDescent="0.15">
      <c r="B775" s="15"/>
    </row>
    <row r="776" spans="2:2" x14ac:dyDescent="0.15">
      <c r="B776" s="15"/>
    </row>
    <row r="777" spans="2:2" x14ac:dyDescent="0.15">
      <c r="B777" s="15"/>
    </row>
    <row r="778" spans="2:2" x14ac:dyDescent="0.15">
      <c r="B778" s="15"/>
    </row>
    <row r="779" spans="2:2" x14ac:dyDescent="0.15">
      <c r="B779" s="15"/>
    </row>
    <row r="780" spans="2:2" x14ac:dyDescent="0.15">
      <c r="B780" s="15"/>
    </row>
    <row r="781" spans="2:2" x14ac:dyDescent="0.15">
      <c r="B781" s="15"/>
    </row>
    <row r="782" spans="2:2" x14ac:dyDescent="0.15">
      <c r="B782" s="15"/>
    </row>
    <row r="783" spans="2:2" x14ac:dyDescent="0.15">
      <c r="B783" s="15"/>
    </row>
    <row r="784" spans="2:2" x14ac:dyDescent="0.15">
      <c r="B784" s="15"/>
    </row>
    <row r="785" spans="2:2" x14ac:dyDescent="0.15">
      <c r="B785" s="15"/>
    </row>
    <row r="786" spans="2:2" x14ac:dyDescent="0.15">
      <c r="B786" s="15"/>
    </row>
    <row r="787" spans="2:2" x14ac:dyDescent="0.15">
      <c r="B787" s="15"/>
    </row>
    <row r="788" spans="2:2" x14ac:dyDescent="0.15">
      <c r="B788" s="15"/>
    </row>
    <row r="789" spans="2:2" x14ac:dyDescent="0.15">
      <c r="B789" s="15"/>
    </row>
    <row r="790" spans="2:2" x14ac:dyDescent="0.15">
      <c r="B790" s="15"/>
    </row>
    <row r="791" spans="2:2" x14ac:dyDescent="0.15">
      <c r="B791" s="15"/>
    </row>
    <row r="792" spans="2:2" x14ac:dyDescent="0.15">
      <c r="B792" s="15"/>
    </row>
    <row r="793" spans="2:2" x14ac:dyDescent="0.15">
      <c r="B793" s="15"/>
    </row>
    <row r="794" spans="2:2" x14ac:dyDescent="0.15">
      <c r="B794" s="15"/>
    </row>
  </sheetData>
  <autoFilter ref="A1:G549" xr:uid="{FE4BA95F-14EB-2040-A003-AFD14062BB47}">
    <filterColumn colId="5">
      <customFilters and="1">
        <customFilter operator="greaterThanOrEqual" val="4"/>
        <customFilter operator="lessThanOrEqual" val="20"/>
      </customFilters>
    </filterColumn>
    <filterColumn colId="6">
      <customFilters and="1">
        <customFilter operator="greaterThanOrEqual" val="10"/>
        <customFilter operator="lessThanOrEqual" val="60"/>
      </custom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F4CB-C0D7-BB4B-9939-F47316F97333}">
  <dimension ref="A1:N26"/>
  <sheetViews>
    <sheetView zoomScale="165" workbookViewId="0">
      <selection activeCell="E4" sqref="E4"/>
    </sheetView>
  </sheetViews>
  <sheetFormatPr baseColWidth="10" defaultRowHeight="11" x14ac:dyDescent="0.15"/>
  <cols>
    <col min="14" max="14" width="13.1640625" bestFit="1" customWidth="1"/>
  </cols>
  <sheetData>
    <row r="1" spans="1:14" x14ac:dyDescent="0.15">
      <c r="B1" t="s">
        <v>2584</v>
      </c>
      <c r="C1" t="s">
        <v>2585</v>
      </c>
      <c r="D1" t="s">
        <v>2586</v>
      </c>
      <c r="E1" t="s">
        <v>2587</v>
      </c>
      <c r="G1" t="s">
        <v>2588</v>
      </c>
      <c r="H1" t="s">
        <v>2033</v>
      </c>
      <c r="I1" t="s">
        <v>2583</v>
      </c>
      <c r="J1" t="s">
        <v>2582</v>
      </c>
      <c r="K1" t="s">
        <v>2584</v>
      </c>
      <c r="L1" t="s">
        <v>2585</v>
      </c>
      <c r="M1" t="s">
        <v>2586</v>
      </c>
      <c r="N1" t="s">
        <v>2587</v>
      </c>
    </row>
    <row r="2" spans="1:14" x14ac:dyDescent="0.15">
      <c r="A2" t="s">
        <v>2589</v>
      </c>
      <c r="B2" s="16">
        <f>MEDIAN(K2:K26)</f>
        <v>288.89999999999998</v>
      </c>
      <c r="C2" s="16">
        <f>MEDIAN(L2:L26)</f>
        <v>45.4</v>
      </c>
      <c r="D2" s="16">
        <f>MEDIAN(M2:M26)</f>
        <v>10.533333333333335</v>
      </c>
      <c r="E2" s="16">
        <f>MEDIAN(N2:N26)</f>
        <v>17.029724610228765</v>
      </c>
      <c r="G2">
        <v>1</v>
      </c>
      <c r="H2" t="s">
        <v>2041</v>
      </c>
      <c r="I2" s="15" t="s">
        <v>54</v>
      </c>
      <c r="J2">
        <v>4359.34</v>
      </c>
      <c r="K2">
        <v>4836.99</v>
      </c>
      <c r="L2">
        <v>766.3</v>
      </c>
      <c r="M2" s="16">
        <v>5.6888163904476059</v>
      </c>
      <c r="N2" s="16">
        <v>15.842497090132499</v>
      </c>
    </row>
    <row r="3" spans="1:14" x14ac:dyDescent="0.15">
      <c r="A3" t="s">
        <v>2590</v>
      </c>
      <c r="B3" s="16">
        <f>AVERAGE(K2:K26)</f>
        <v>593.39440000000002</v>
      </c>
      <c r="C3" s="16">
        <f>AVERAGE(L2:L26)</f>
        <v>131.9452</v>
      </c>
      <c r="D3" s="16">
        <f>AVERAGE(M2:M26)</f>
        <v>10.27403274199238</v>
      </c>
      <c r="E3" s="16">
        <f>AVERAGE(N2:N26)</f>
        <v>21.434774321203513</v>
      </c>
      <c r="G3">
        <v>2</v>
      </c>
      <c r="H3" t="s">
        <v>2077</v>
      </c>
      <c r="I3" s="15" t="s">
        <v>191</v>
      </c>
      <c r="J3">
        <v>1967.76</v>
      </c>
      <c r="K3">
        <v>1484.46</v>
      </c>
      <c r="L3">
        <v>167</v>
      </c>
      <c r="M3" s="16">
        <v>11.782994011976047</v>
      </c>
      <c r="N3" s="16">
        <v>11.249882112013795</v>
      </c>
    </row>
    <row r="4" spans="1:14" x14ac:dyDescent="0.15">
      <c r="A4" s="17" t="s">
        <v>2591</v>
      </c>
      <c r="B4" s="18">
        <f>QUARTILE(K2:K26,1)</f>
        <v>88.23</v>
      </c>
      <c r="C4" s="18">
        <f>QUARTILE(L2:L26,1)</f>
        <v>29.3</v>
      </c>
      <c r="D4" s="18">
        <f>QUARTILE(M2:M26,1)</f>
        <v>6.7617433414043582</v>
      </c>
      <c r="E4" s="18">
        <f>QUARTILE(N2:N26,1)</f>
        <v>13.016453382084094</v>
      </c>
      <c r="G4">
        <v>3</v>
      </c>
      <c r="H4" t="s">
        <v>2082</v>
      </c>
      <c r="I4" s="15" t="s">
        <v>211</v>
      </c>
      <c r="J4">
        <v>7543.48</v>
      </c>
      <c r="K4">
        <v>1386.92</v>
      </c>
      <c r="L4">
        <v>750.3</v>
      </c>
      <c r="M4" s="16">
        <v>10.05395175263228</v>
      </c>
      <c r="N4" s="16">
        <v>54.098289735529079</v>
      </c>
    </row>
    <row r="5" spans="1:14" x14ac:dyDescent="0.15">
      <c r="A5" s="17" t="s">
        <v>2592</v>
      </c>
      <c r="B5" s="18">
        <f>QUARTILE(K2:K26,3)</f>
        <v>552.52</v>
      </c>
      <c r="C5" s="18">
        <f>QUARTILE(L2:L26,3)</f>
        <v>93.5</v>
      </c>
      <c r="D5" s="18">
        <f>QUARTILE(M2:M26,3)</f>
        <v>13.549267399267398</v>
      </c>
      <c r="E5" s="18">
        <f>QUARTILE(N2:N26,3)</f>
        <v>27.706843718079675</v>
      </c>
      <c r="G5">
        <v>4</v>
      </c>
      <c r="H5" t="s">
        <v>2089</v>
      </c>
      <c r="I5" s="15" t="s">
        <v>240</v>
      </c>
      <c r="J5">
        <v>7350.58</v>
      </c>
      <c r="K5">
        <v>1140.44</v>
      </c>
      <c r="L5">
        <v>437.4</v>
      </c>
      <c r="M5" s="16">
        <v>16.805166895290352</v>
      </c>
      <c r="N5" s="16">
        <v>38.353617901862435</v>
      </c>
    </row>
    <row r="6" spans="1:14" x14ac:dyDescent="0.15">
      <c r="A6" t="s">
        <v>2593</v>
      </c>
      <c r="B6" s="16">
        <f>MIN(K2:K26)</f>
        <v>54.7</v>
      </c>
      <c r="C6" s="16">
        <f>MIN(L2:L26)</f>
        <v>7.12</v>
      </c>
      <c r="D6" s="16">
        <f>MIN(M2:M26)</f>
        <v>4.47752808988764</v>
      </c>
      <c r="E6" s="16">
        <f>MIN(N2:N26)</f>
        <v>10.008340283569641</v>
      </c>
      <c r="G6">
        <v>5</v>
      </c>
      <c r="H6" t="s">
        <v>2109</v>
      </c>
      <c r="I6" s="15" t="s">
        <v>325</v>
      </c>
      <c r="J6">
        <v>4678.82</v>
      </c>
      <c r="K6">
        <v>796.9</v>
      </c>
      <c r="L6">
        <v>273.5</v>
      </c>
      <c r="M6" s="16">
        <v>17.107202925045701</v>
      </c>
      <c r="N6" s="16">
        <v>34.320491906136283</v>
      </c>
    </row>
    <row r="7" spans="1:14" x14ac:dyDescent="0.15">
      <c r="A7" t="s">
        <v>2594</v>
      </c>
      <c r="B7" s="16">
        <f>MAX(K2:K26)</f>
        <v>4836.99</v>
      </c>
      <c r="C7" s="16">
        <f>MAX(L2:L26)</f>
        <v>766.3</v>
      </c>
      <c r="D7" s="16">
        <f>MAX(M2:M26)</f>
        <v>17.107202925045701</v>
      </c>
      <c r="E7" s="16">
        <f>MAX(N2:N26)</f>
        <v>54.098289735529079</v>
      </c>
      <c r="G7">
        <v>6</v>
      </c>
      <c r="H7" t="s">
        <v>2129</v>
      </c>
      <c r="I7" s="15" t="s">
        <v>400</v>
      </c>
      <c r="J7">
        <v>1254.54</v>
      </c>
      <c r="K7">
        <v>662.29</v>
      </c>
      <c r="L7">
        <v>81.900000000000006</v>
      </c>
      <c r="M7" s="16">
        <v>15.317948717948717</v>
      </c>
      <c r="N7" s="16">
        <v>12.36618399794652</v>
      </c>
    </row>
    <row r="8" spans="1:14" x14ac:dyDescent="0.15">
      <c r="A8" t="s">
        <v>2588</v>
      </c>
      <c r="B8" s="16">
        <f>COUNT(K2:K26)</f>
        <v>25</v>
      </c>
      <c r="C8" s="16">
        <f>COUNT(L2:L26)</f>
        <v>25</v>
      </c>
      <c r="D8" s="16">
        <f>COUNT(M2:M26)</f>
        <v>25</v>
      </c>
      <c r="E8" s="16">
        <f>COUNT(N2:N26)</f>
        <v>25</v>
      </c>
      <c r="G8">
        <v>7</v>
      </c>
      <c r="H8" t="s">
        <v>2153</v>
      </c>
      <c r="I8" s="15" t="s">
        <v>491</v>
      </c>
      <c r="J8">
        <v>808.96</v>
      </c>
      <c r="K8">
        <v>552.52</v>
      </c>
      <c r="L8">
        <v>76.8</v>
      </c>
      <c r="M8" s="16">
        <v>10.533333333333335</v>
      </c>
      <c r="N8" s="16">
        <v>13.899949323101426</v>
      </c>
    </row>
    <row r="9" spans="1:14" x14ac:dyDescent="0.15">
      <c r="G9">
        <v>8</v>
      </c>
      <c r="H9" t="s">
        <v>2154</v>
      </c>
      <c r="I9" s="15" t="s">
        <v>494</v>
      </c>
      <c r="J9">
        <v>1434.05</v>
      </c>
      <c r="K9">
        <v>549.04</v>
      </c>
      <c r="L9">
        <v>93.5</v>
      </c>
      <c r="M9" s="16">
        <v>15.337433155080213</v>
      </c>
      <c r="N9" s="16">
        <v>17.029724610228765</v>
      </c>
    </row>
    <row r="10" spans="1:14" x14ac:dyDescent="0.15">
      <c r="G10">
        <v>9</v>
      </c>
      <c r="H10" t="s">
        <v>2162</v>
      </c>
      <c r="I10" s="15" t="s">
        <v>522</v>
      </c>
      <c r="J10">
        <v>310.25</v>
      </c>
      <c r="K10">
        <v>482.88</v>
      </c>
      <c r="L10">
        <v>54.6</v>
      </c>
      <c r="M10" s="16">
        <v>5.6822344322344325</v>
      </c>
      <c r="N10" s="16">
        <v>11.307157057654075</v>
      </c>
    </row>
    <row r="11" spans="1:14" x14ac:dyDescent="0.15">
      <c r="G11">
        <v>10</v>
      </c>
      <c r="H11" t="s">
        <v>2168</v>
      </c>
      <c r="I11" s="15" t="s">
        <v>544</v>
      </c>
      <c r="J11">
        <v>739.79</v>
      </c>
      <c r="K11">
        <v>463.96</v>
      </c>
      <c r="L11">
        <v>54.6</v>
      </c>
      <c r="M11" s="16">
        <v>13.549267399267398</v>
      </c>
      <c r="N11" s="16">
        <v>11.768255884127942</v>
      </c>
    </row>
    <row r="12" spans="1:14" x14ac:dyDescent="0.15">
      <c r="G12">
        <v>11</v>
      </c>
      <c r="H12" t="s">
        <v>2194</v>
      </c>
      <c r="I12" s="15" t="s">
        <v>641</v>
      </c>
      <c r="J12">
        <v>522.1</v>
      </c>
      <c r="K12">
        <v>345.14</v>
      </c>
      <c r="L12">
        <v>45.4</v>
      </c>
      <c r="M12" s="16">
        <v>11.5</v>
      </c>
      <c r="N12" s="16">
        <v>13.154082401344382</v>
      </c>
    </row>
    <row r="13" spans="1:14" x14ac:dyDescent="0.15">
      <c r="G13">
        <v>12</v>
      </c>
      <c r="H13" t="s">
        <v>2214</v>
      </c>
      <c r="I13" s="15" t="s">
        <v>708</v>
      </c>
      <c r="J13">
        <v>900.9</v>
      </c>
      <c r="K13">
        <v>306.52999999999997</v>
      </c>
      <c r="L13">
        <v>125.7</v>
      </c>
      <c r="M13" s="16">
        <v>7.1670644391408107</v>
      </c>
      <c r="N13" s="16">
        <v>41.007405474178718</v>
      </c>
    </row>
    <row r="14" spans="1:14" x14ac:dyDescent="0.15">
      <c r="G14">
        <v>13</v>
      </c>
      <c r="H14" t="s">
        <v>2222</v>
      </c>
      <c r="I14" s="15" t="s">
        <v>737</v>
      </c>
      <c r="J14">
        <v>444.57</v>
      </c>
      <c r="K14">
        <v>288.89999999999998</v>
      </c>
      <c r="L14">
        <v>83.5</v>
      </c>
      <c r="M14" s="16">
        <v>5.3241916167664671</v>
      </c>
      <c r="N14" s="16">
        <v>28.902734510211147</v>
      </c>
    </row>
    <row r="15" spans="1:14" x14ac:dyDescent="0.15">
      <c r="G15">
        <v>14</v>
      </c>
      <c r="H15" t="s">
        <v>2230</v>
      </c>
      <c r="I15" s="15" t="s">
        <v>767</v>
      </c>
      <c r="J15">
        <v>319.98</v>
      </c>
      <c r="K15">
        <v>273.57</v>
      </c>
      <c r="L15">
        <v>35.700000000000003</v>
      </c>
      <c r="M15" s="16">
        <v>8.9630252100840337</v>
      </c>
      <c r="N15" s="16">
        <v>13.049676499616186</v>
      </c>
    </row>
    <row r="16" spans="1:14" x14ac:dyDescent="0.15">
      <c r="G16">
        <v>15</v>
      </c>
      <c r="H16" t="s">
        <v>2258</v>
      </c>
      <c r="I16" s="15" t="s">
        <v>866</v>
      </c>
      <c r="J16">
        <v>279.26</v>
      </c>
      <c r="K16">
        <v>225.74</v>
      </c>
      <c r="L16">
        <v>41.3</v>
      </c>
      <c r="M16" s="16">
        <v>6.7617433414043582</v>
      </c>
      <c r="N16" s="16">
        <v>18.29538407016922</v>
      </c>
    </row>
    <row r="17" spans="7:14" x14ac:dyDescent="0.15">
      <c r="G17">
        <v>16</v>
      </c>
      <c r="H17" t="s">
        <v>2290</v>
      </c>
      <c r="I17" s="15" t="s">
        <v>988</v>
      </c>
      <c r="J17">
        <v>184.55</v>
      </c>
      <c r="K17">
        <v>192.01</v>
      </c>
      <c r="L17">
        <v>40.5</v>
      </c>
      <c r="M17" s="16">
        <v>4.55679012345679</v>
      </c>
      <c r="N17" s="16">
        <v>21.092651424404981</v>
      </c>
    </row>
    <row r="18" spans="7:14" x14ac:dyDescent="0.15">
      <c r="G18">
        <v>17</v>
      </c>
      <c r="H18" t="s">
        <v>2316</v>
      </c>
      <c r="I18" s="15" t="s">
        <v>1079</v>
      </c>
      <c r="J18">
        <v>297.14</v>
      </c>
      <c r="K18">
        <v>170.91</v>
      </c>
      <c r="L18">
        <v>32.6</v>
      </c>
      <c r="M18" s="16">
        <v>9.1147239263803677</v>
      </c>
      <c r="N18" s="16">
        <v>19.074366625709438</v>
      </c>
    </row>
    <row r="19" spans="7:14" x14ac:dyDescent="0.15">
      <c r="G19">
        <v>18</v>
      </c>
      <c r="H19" t="s">
        <v>2356</v>
      </c>
      <c r="I19" s="15" t="s">
        <v>1237</v>
      </c>
      <c r="J19">
        <v>440.08</v>
      </c>
      <c r="K19">
        <v>139.54</v>
      </c>
      <c r="L19">
        <v>29.3</v>
      </c>
      <c r="M19" s="16">
        <v>15.019795221843003</v>
      </c>
      <c r="N19" s="16">
        <v>20.997563422674503</v>
      </c>
    </row>
    <row r="20" spans="7:14" x14ac:dyDescent="0.15">
      <c r="G20">
        <v>19</v>
      </c>
      <c r="H20" t="s">
        <v>2447</v>
      </c>
      <c r="I20" s="15" t="s">
        <v>1557</v>
      </c>
      <c r="J20">
        <v>139.46</v>
      </c>
      <c r="K20">
        <v>88.23</v>
      </c>
      <c r="L20">
        <v>12.2</v>
      </c>
      <c r="M20" s="16">
        <v>11.431147540983607</v>
      </c>
      <c r="N20" s="16">
        <v>13.827496316445654</v>
      </c>
    </row>
    <row r="21" spans="7:14" x14ac:dyDescent="0.15">
      <c r="G21">
        <v>20</v>
      </c>
      <c r="H21" t="s">
        <v>2462</v>
      </c>
      <c r="I21" s="15" t="s">
        <v>1610</v>
      </c>
      <c r="J21">
        <v>90.34</v>
      </c>
      <c r="K21">
        <v>83.93</v>
      </c>
      <c r="L21">
        <v>8.4</v>
      </c>
      <c r="M21" s="16">
        <v>10.754761904761905</v>
      </c>
      <c r="N21" s="16">
        <v>10.008340283569641</v>
      </c>
    </row>
    <row r="22" spans="7:14" x14ac:dyDescent="0.15">
      <c r="G22">
        <v>21</v>
      </c>
      <c r="H22" t="s">
        <v>2471</v>
      </c>
      <c r="I22" s="15" t="s">
        <v>1645</v>
      </c>
      <c r="J22">
        <v>538.64</v>
      </c>
      <c r="K22">
        <v>81.040000000000006</v>
      </c>
      <c r="L22">
        <v>36.200000000000003</v>
      </c>
      <c r="M22" s="16">
        <v>14.879558011049722</v>
      </c>
      <c r="N22" s="16">
        <v>44.669299111549854</v>
      </c>
    </row>
    <row r="23" spans="7:14" x14ac:dyDescent="0.15">
      <c r="G23">
        <v>22</v>
      </c>
      <c r="H23" t="s">
        <v>2481</v>
      </c>
      <c r="I23" s="15" t="s">
        <v>1679</v>
      </c>
      <c r="J23">
        <v>245.24</v>
      </c>
      <c r="K23">
        <v>78.319999999999993</v>
      </c>
      <c r="L23">
        <v>21.7</v>
      </c>
      <c r="M23" s="16">
        <v>11.301382488479263</v>
      </c>
      <c r="N23" s="16">
        <v>27.706843718079675</v>
      </c>
    </row>
    <row r="24" spans="7:14" x14ac:dyDescent="0.15">
      <c r="G24">
        <v>23</v>
      </c>
      <c r="H24" t="s">
        <v>2491</v>
      </c>
      <c r="I24" s="15" t="s">
        <v>1716</v>
      </c>
      <c r="J24">
        <v>123.02</v>
      </c>
      <c r="K24">
        <v>74.97</v>
      </c>
      <c r="L24">
        <v>15.6</v>
      </c>
      <c r="M24" s="16">
        <v>7.8858974358974354</v>
      </c>
      <c r="N24" s="16">
        <v>20.808323329331731</v>
      </c>
    </row>
    <row r="25" spans="7:14" x14ac:dyDescent="0.15">
      <c r="G25">
        <v>24</v>
      </c>
      <c r="H25" t="s">
        <v>2493</v>
      </c>
      <c r="I25" s="15" t="s">
        <v>1724</v>
      </c>
      <c r="J25">
        <v>43.97</v>
      </c>
      <c r="K25">
        <v>74.930000000000007</v>
      </c>
      <c r="L25">
        <v>7.51</v>
      </c>
      <c r="M25" s="16">
        <v>5.8548601864181089</v>
      </c>
      <c r="N25" s="16">
        <v>10.022687841985853</v>
      </c>
    </row>
    <row r="26" spans="7:14" x14ac:dyDescent="0.15">
      <c r="G26">
        <v>25</v>
      </c>
      <c r="H26" t="s">
        <v>2558</v>
      </c>
      <c r="I26" s="15" t="s">
        <v>1957</v>
      </c>
      <c r="J26">
        <v>31.88</v>
      </c>
      <c r="K26">
        <v>54.7</v>
      </c>
      <c r="L26">
        <v>7.12</v>
      </c>
      <c r="M26" s="16">
        <v>4.47752808988764</v>
      </c>
      <c r="N26" s="16">
        <v>13.016453382084094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8EC6-FAF0-3041-AD7D-2BD619C91548}">
  <sheetPr>
    <outlinePr summaryBelow="0" summaryRight="0"/>
    <pageSetUpPr autoPageBreaks="0"/>
  </sheetPr>
  <dimension ref="A1:O551"/>
  <sheetViews>
    <sheetView topLeftCell="A162" zoomScaleNormal="100" workbookViewId="0">
      <selection activeCell="F1" sqref="F1"/>
    </sheetView>
  </sheetViews>
  <sheetFormatPr baseColWidth="10" defaultColWidth="8.83203125" defaultRowHeight="11" x14ac:dyDescent="0.15"/>
  <cols>
    <col min="1" max="1" width="25.83203125" customWidth="1"/>
    <col min="2" max="2" width="40.83203125" customWidth="1"/>
    <col min="3" max="3" width="15.83203125" customWidth="1"/>
    <col min="4" max="5" width="18.83203125" customWidth="1"/>
    <col min="6" max="6" width="25.83203125" customWidth="1"/>
    <col min="7" max="8" width="40.83203125" customWidth="1"/>
    <col min="9" max="9" width="18.83203125" customWidth="1"/>
    <col min="10" max="10" width="25.83203125" customWidth="1"/>
    <col min="11" max="11" width="40.83203125" customWidth="1"/>
    <col min="12" max="14" width="25.83203125" customWidth="1"/>
    <col min="15" max="15" width="40.83203125" customWidth="1"/>
  </cols>
  <sheetData>
    <row r="1" spans="1:15" ht="93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2" t="s">
        <v>12</v>
      </c>
      <c r="N1" s="8" t="s">
        <v>13</v>
      </c>
      <c r="O1" s="2" t="s">
        <v>14</v>
      </c>
    </row>
    <row r="2" spans="1:15" ht="48" x14ac:dyDescent="0.15">
      <c r="A2" s="1" t="d">
        <v>2025-05-08</v>
      </c>
      <c r="B2" s="3" t="s">
        <v>15</v>
      </c>
      <c r="C2" s="3" t="s">
        <v>16</v>
      </c>
      <c r="D2" s="4" t="s">
        <v>17</v>
      </c>
      <c r="E2" s="4" t="s">
        <v>18</v>
      </c>
      <c r="F2" s="5">
        <v>9243.42</v>
      </c>
      <c r="G2" s="3" t="s">
        <v>16</v>
      </c>
      <c r="H2" s="3" t="s">
        <v>16</v>
      </c>
      <c r="I2" s="4" t="s">
        <v>19</v>
      </c>
      <c r="J2" s="1" t="d">
        <v>2025-05-08</v>
      </c>
      <c r="K2" s="9" t="s">
        <v>20</v>
      </c>
      <c r="L2" s="5">
        <v>30976.85</v>
      </c>
      <c r="M2" s="1" t="d">
        <v>2025-06-19</v>
      </c>
      <c r="N2" s="10">
        <v>5335.2</v>
      </c>
      <c r="O2" s="9" t="s">
        <v>21</v>
      </c>
    </row>
    <row r="3" spans="1:15" ht="24" x14ac:dyDescent="0.15">
      <c r="A3" s="1" t="d">
        <v>2022-05-26</v>
      </c>
      <c r="B3" s="3" t="s">
        <v>22</v>
      </c>
      <c r="C3" s="3" t="s">
        <v>16</v>
      </c>
      <c r="D3" s="4" t="s">
        <v>17</v>
      </c>
      <c r="E3" s="4" t="s">
        <v>18</v>
      </c>
      <c r="F3" s="5">
        <v>72967.490000000005</v>
      </c>
      <c r="G3" s="3" t="s">
        <v>23</v>
      </c>
      <c r="H3" s="3" t="s">
        <v>24</v>
      </c>
      <c r="I3" s="4" t="s">
        <v>25</v>
      </c>
      <c r="J3" s="1" t="d">
        <v>2022-05-26</v>
      </c>
      <c r="K3" s="9" t="s">
        <v>20</v>
      </c>
      <c r="L3" s="5">
        <v>12945</v>
      </c>
      <c r="M3" s="1" t="d">
        <v>2023-11-22</v>
      </c>
      <c r="N3" s="6" t="s">
        <v>16</v>
      </c>
      <c r="O3" s="9" t="s">
        <v>26</v>
      </c>
    </row>
    <row r="4" spans="1:15" ht="12" x14ac:dyDescent="0.15">
      <c r="A4" s="1" t="d">
        <v>2023-11-02</v>
      </c>
      <c r="B4" s="3" t="s">
        <v>27</v>
      </c>
      <c r="C4" s="3" t="s">
        <v>28</v>
      </c>
      <c r="D4" s="4" t="s">
        <v>17</v>
      </c>
      <c r="E4" s="4" t="s">
        <v>18</v>
      </c>
      <c r="F4" s="6" t="s">
        <v>16</v>
      </c>
      <c r="G4" s="3" t="s">
        <v>29</v>
      </c>
      <c r="H4" s="3" t="s">
        <v>16</v>
      </c>
      <c r="I4" s="4" t="s">
        <v>30</v>
      </c>
      <c r="J4" s="1" t="d">
        <v>2023-11-02</v>
      </c>
      <c r="K4" s="9" t="s">
        <v>20</v>
      </c>
      <c r="L4" s="5">
        <v>11615.16</v>
      </c>
      <c r="M4" s="1" t="d">
        <v>2023-11-02</v>
      </c>
      <c r="N4" s="10">
        <v>534.70000000000005</v>
      </c>
      <c r="O4" s="9" t="s">
        <v>31</v>
      </c>
    </row>
    <row r="5" spans="1:15" ht="24" x14ac:dyDescent="0.15">
      <c r="A5" s="1" t="d">
        <v>2025-05-19</v>
      </c>
      <c r="B5" s="3" t="s">
        <v>32</v>
      </c>
      <c r="C5" s="3" t="s">
        <v>16</v>
      </c>
      <c r="D5" s="4" t="s">
        <v>17</v>
      </c>
      <c r="E5" s="4" t="s">
        <v>18</v>
      </c>
      <c r="F5" s="5">
        <v>3000</v>
      </c>
      <c r="G5" s="3" t="s">
        <v>33</v>
      </c>
      <c r="H5" s="3" t="s">
        <v>34</v>
      </c>
      <c r="I5" s="4" t="s">
        <v>35</v>
      </c>
      <c r="J5" s="1" t="d">
        <v>2025-05-19</v>
      </c>
      <c r="K5" s="9" t="s">
        <v>20</v>
      </c>
      <c r="L5" s="5">
        <v>6000</v>
      </c>
      <c r="M5" s="1" t="d">
        <v>2025-10-27</v>
      </c>
      <c r="N5" s="6" t="s">
        <v>16</v>
      </c>
      <c r="O5" s="9" t="s">
        <v>36</v>
      </c>
    </row>
    <row r="6" spans="1:15" ht="12" x14ac:dyDescent="0.15">
      <c r="A6" s="1" t="d">
        <v>2024-01-09</v>
      </c>
      <c r="B6" s="3" t="s">
        <v>37</v>
      </c>
      <c r="C6" s="3" t="s">
        <v>16</v>
      </c>
      <c r="D6" s="4" t="s">
        <v>17</v>
      </c>
      <c r="E6" s="4" t="s">
        <v>18</v>
      </c>
      <c r="F6" s="5">
        <v>15396.69</v>
      </c>
      <c r="G6" s="3" t="s">
        <v>38</v>
      </c>
      <c r="H6" s="3" t="s">
        <v>16</v>
      </c>
      <c r="I6" s="4" t="s">
        <v>39</v>
      </c>
      <c r="J6" s="1" t="d">
        <v>2024-01-09</v>
      </c>
      <c r="K6" s="9" t="s">
        <v>20</v>
      </c>
      <c r="L6" s="5">
        <v>5564.5</v>
      </c>
      <c r="M6" s="1" t="d">
        <v>2025-07-02</v>
      </c>
      <c r="N6" s="10">
        <v>689.8</v>
      </c>
      <c r="O6" s="9" t="s">
        <v>40</v>
      </c>
    </row>
    <row r="7" spans="1:15" ht="24" x14ac:dyDescent="0.15">
      <c r="A7" s="1" t="d">
        <v>2024-12-05</v>
      </c>
      <c r="B7" s="3" t="s">
        <v>41</v>
      </c>
      <c r="C7" s="3" t="s">
        <v>42</v>
      </c>
      <c r="D7" s="4" t="s">
        <v>17</v>
      </c>
      <c r="E7" s="4" t="s">
        <v>18</v>
      </c>
      <c r="F7" s="6" t="s">
        <v>16</v>
      </c>
      <c r="G7" s="3" t="s">
        <v>43</v>
      </c>
      <c r="H7" s="3" t="s">
        <v>16</v>
      </c>
      <c r="I7" s="4" t="s">
        <v>44</v>
      </c>
      <c r="J7" s="1" t="d">
        <v>2024-12-05</v>
      </c>
      <c r="K7" s="9" t="s">
        <v>20</v>
      </c>
      <c r="L7" s="5">
        <v>5330.6</v>
      </c>
      <c r="M7" s="1" t="d">
        <v>2024-12-05</v>
      </c>
      <c r="N7" s="10">
        <v>776.9</v>
      </c>
      <c r="O7" s="9" t="s">
        <v>45</v>
      </c>
    </row>
    <row r="8" spans="1:15" ht="12" x14ac:dyDescent="0.15">
      <c r="A8" s="1" t="d">
        <v>2022-03-23</v>
      </c>
      <c r="B8" s="3" t="s">
        <v>46</v>
      </c>
      <c r="C8" s="3" t="s">
        <v>47</v>
      </c>
      <c r="D8" s="4" t="s">
        <v>17</v>
      </c>
      <c r="E8" s="4" t="s">
        <v>18</v>
      </c>
      <c r="F8" s="5">
        <v>478.06</v>
      </c>
      <c r="G8" s="3" t="s">
        <v>16</v>
      </c>
      <c r="H8" s="3" t="s">
        <v>48</v>
      </c>
      <c r="I8" s="4" t="s">
        <v>49</v>
      </c>
      <c r="J8" s="1" t="d">
        <v>2022-03-23</v>
      </c>
      <c r="K8" s="9" t="s">
        <v>20</v>
      </c>
      <c r="L8" s="5">
        <v>5157.45</v>
      </c>
      <c r="M8" s="1" t="d">
        <v>2022-03-23</v>
      </c>
      <c r="N8" s="10">
        <v>698.6</v>
      </c>
      <c r="O8" s="9" t="s">
        <v>50</v>
      </c>
    </row>
    <row r="9" spans="1:15" ht="72" x14ac:dyDescent="0.15">
      <c r="A9" s="1" t="d">
        <v>2025-10-29</v>
      </c>
      <c r="B9" s="3" t="s">
        <v>51</v>
      </c>
      <c r="C9" s="3" t="s">
        <v>16</v>
      </c>
      <c r="D9" s="4" t="s">
        <v>17</v>
      </c>
      <c r="E9" s="4" t="s">
        <v>18</v>
      </c>
      <c r="F9" s="5">
        <v>4359.34</v>
      </c>
      <c r="G9" s="3" t="s">
        <v>52</v>
      </c>
      <c r="H9" s="3" t="s">
        <v>53</v>
      </c>
      <c r="I9" s="4" t="s">
        <v>54</v>
      </c>
      <c r="J9" s="1" t="d">
        <v>2025-10-29</v>
      </c>
      <c r="K9" s="9" t="s">
        <v>20</v>
      </c>
      <c r="L9" s="5">
        <v>4836.99</v>
      </c>
      <c r="M9" s="1" t="d">
        <v>2025-12-12</v>
      </c>
      <c r="N9" s="10">
        <v>766.3</v>
      </c>
      <c r="O9" s="9" t="s">
        <v>55</v>
      </c>
    </row>
    <row r="10" spans="1:15" ht="240" x14ac:dyDescent="0.15">
      <c r="A10" s="1" t="d">
        <v>2025-08-04</v>
      </c>
      <c r="B10" s="3" t="s">
        <v>56</v>
      </c>
      <c r="C10" s="3" t="s">
        <v>57</v>
      </c>
      <c r="D10" s="4" t="s">
        <v>17</v>
      </c>
      <c r="E10" s="4" t="s">
        <v>18</v>
      </c>
      <c r="F10" s="5">
        <v>141.01</v>
      </c>
      <c r="G10" s="3" t="s">
        <v>58</v>
      </c>
      <c r="H10" s="3" t="s">
        <v>59</v>
      </c>
      <c r="I10" s="4" t="s">
        <v>60</v>
      </c>
      <c r="J10" s="1" t="d">
        <v>2025-08-04</v>
      </c>
      <c r="K10" s="9" t="s">
        <v>20</v>
      </c>
      <c r="L10" s="5">
        <v>4825.83</v>
      </c>
      <c r="M10" s="1" t="d">
        <v>2025-08-04</v>
      </c>
      <c r="N10" s="10">
        <v>10.6</v>
      </c>
      <c r="O10" s="9" t="s">
        <v>61</v>
      </c>
    </row>
    <row r="11" spans="1:15" ht="12" x14ac:dyDescent="0.15">
      <c r="A11" s="1" t="d">
        <v>2023-11-30</v>
      </c>
      <c r="B11" s="3" t="s">
        <v>41</v>
      </c>
      <c r="C11" s="3" t="s">
        <v>42</v>
      </c>
      <c r="D11" s="4" t="s">
        <v>17</v>
      </c>
      <c r="E11" s="4" t="s">
        <v>18</v>
      </c>
      <c r="F11" s="6" t="s">
        <v>16</v>
      </c>
      <c r="G11" s="3" t="s">
        <v>62</v>
      </c>
      <c r="H11" s="3" t="s">
        <v>16</v>
      </c>
      <c r="I11" s="4" t="s">
        <v>63</v>
      </c>
      <c r="J11" s="1" t="d">
        <v>2023-11-30</v>
      </c>
      <c r="K11" s="9" t="s">
        <v>20</v>
      </c>
      <c r="L11" s="5">
        <v>4475</v>
      </c>
      <c r="M11" s="1" t="d">
        <v>2023-11-30</v>
      </c>
      <c r="N11" s="10">
        <v>776.9</v>
      </c>
      <c r="O11" s="9" t="s">
        <v>61</v>
      </c>
    </row>
    <row r="12" spans="1:15" ht="24" x14ac:dyDescent="0.15">
      <c r="A12" s="1" t="d">
        <v>2023-11-24</v>
      </c>
      <c r="B12" s="3" t="s">
        <v>41</v>
      </c>
      <c r="C12" s="3" t="s">
        <v>42</v>
      </c>
      <c r="D12" s="4" t="s">
        <v>17</v>
      </c>
      <c r="E12" s="4" t="s">
        <v>18</v>
      </c>
      <c r="F12" s="5">
        <v>129.05000000000001</v>
      </c>
      <c r="G12" s="3" t="s">
        <v>43</v>
      </c>
      <c r="H12" s="3" t="s">
        <v>62</v>
      </c>
      <c r="I12" s="4" t="s">
        <v>64</v>
      </c>
      <c r="J12" s="1" t="d">
        <v>2023-11-24</v>
      </c>
      <c r="K12" s="9" t="s">
        <v>20</v>
      </c>
      <c r="L12" s="5">
        <v>4475</v>
      </c>
      <c r="M12" s="1" t="d">
        <v>2023-11-24</v>
      </c>
      <c r="N12" s="10">
        <v>776.9</v>
      </c>
      <c r="O12" s="9" t="s">
        <v>65</v>
      </c>
    </row>
    <row r="13" spans="1:15" ht="12" x14ac:dyDescent="0.15">
      <c r="A13" s="1" t="d">
        <v>2023-05-15</v>
      </c>
      <c r="B13" s="3" t="s">
        <v>41</v>
      </c>
      <c r="C13" s="3" t="s">
        <v>42</v>
      </c>
      <c r="D13" s="4" t="s">
        <v>17</v>
      </c>
      <c r="E13" s="4" t="s">
        <v>18</v>
      </c>
      <c r="F13" s="5">
        <v>70.67</v>
      </c>
      <c r="G13" s="3" t="s">
        <v>43</v>
      </c>
      <c r="H13" s="3" t="s">
        <v>16</v>
      </c>
      <c r="I13" s="4" t="s">
        <v>66</v>
      </c>
      <c r="J13" s="1" t="d">
        <v>2023-05-15</v>
      </c>
      <c r="K13" s="9" t="s">
        <v>20</v>
      </c>
      <c r="L13" s="5">
        <v>4301.3599999999997</v>
      </c>
      <c r="M13" s="1" t="d">
        <v>2023-05-15</v>
      </c>
      <c r="N13" s="10">
        <v>776.9</v>
      </c>
      <c r="O13" s="9" t="s">
        <v>50</v>
      </c>
    </row>
    <row r="14" spans="1:15" ht="12" x14ac:dyDescent="0.15">
      <c r="A14" s="1" t="d">
        <v>2025-01-31</v>
      </c>
      <c r="B14" s="3" t="s">
        <v>67</v>
      </c>
      <c r="C14" s="3" t="s">
        <v>68</v>
      </c>
      <c r="D14" s="4" t="s">
        <v>17</v>
      </c>
      <c r="E14" s="4" t="s">
        <v>18</v>
      </c>
      <c r="F14" s="5">
        <v>174</v>
      </c>
      <c r="G14" s="3" t="s">
        <v>69</v>
      </c>
      <c r="H14" s="3" t="s">
        <v>70</v>
      </c>
      <c r="I14" s="4" t="s">
        <v>71</v>
      </c>
      <c r="J14" s="1" t="d">
        <v>2025-01-31</v>
      </c>
      <c r="K14" s="9" t="s">
        <v>20</v>
      </c>
      <c r="L14" s="5">
        <v>4145.17</v>
      </c>
      <c r="M14" s="1" t="d">
        <v>2025-01-31</v>
      </c>
      <c r="N14" s="10">
        <v>668.9</v>
      </c>
      <c r="O14" s="9" t="s">
        <v>61</v>
      </c>
    </row>
    <row r="15" spans="1:15" ht="24" x14ac:dyDescent="0.15">
      <c r="A15" s="1" t="d">
        <v>2023-08-02</v>
      </c>
      <c r="B15" s="3" t="s">
        <v>72</v>
      </c>
      <c r="C15" s="3" t="s">
        <v>16</v>
      </c>
      <c r="D15" s="4" t="s">
        <v>17</v>
      </c>
      <c r="E15" s="4" t="s">
        <v>18</v>
      </c>
      <c r="F15" s="5">
        <v>1678.11</v>
      </c>
      <c r="G15" s="3" t="s">
        <v>73</v>
      </c>
      <c r="H15" s="3" t="s">
        <v>16</v>
      </c>
      <c r="I15" s="4" t="s">
        <v>74</v>
      </c>
      <c r="J15" s="1" t="d">
        <v>2023-08-02</v>
      </c>
      <c r="K15" s="9" t="s">
        <v>20</v>
      </c>
      <c r="L15" s="5">
        <v>4057.13</v>
      </c>
      <c r="M15" s="1" t="d">
        <v>2023-09-14</v>
      </c>
      <c r="N15" s="6" t="s">
        <v>16</v>
      </c>
      <c r="O15" s="9" t="s">
        <v>55</v>
      </c>
    </row>
    <row r="16" spans="1:15" ht="12" x14ac:dyDescent="0.15">
      <c r="A16" s="1" t="d">
        <v>2022-06-03</v>
      </c>
      <c r="B16" s="3" t="s">
        <v>41</v>
      </c>
      <c r="C16" s="3" t="s">
        <v>42</v>
      </c>
      <c r="D16" s="4" t="s">
        <v>17</v>
      </c>
      <c r="E16" s="4" t="s">
        <v>18</v>
      </c>
      <c r="F16" s="5">
        <v>66.77</v>
      </c>
      <c r="G16" s="3" t="s">
        <v>75</v>
      </c>
      <c r="H16" s="3" t="s">
        <v>76</v>
      </c>
      <c r="I16" s="4" t="s">
        <v>77</v>
      </c>
      <c r="J16" s="1" t="d">
        <v>2022-06-03</v>
      </c>
      <c r="K16" s="9" t="s">
        <v>20</v>
      </c>
      <c r="L16" s="5">
        <v>3926.97</v>
      </c>
      <c r="M16" s="1" t="d">
        <v>2022-06-03</v>
      </c>
      <c r="N16" s="10">
        <v>776.9</v>
      </c>
      <c r="O16" s="9" t="s">
        <v>50</v>
      </c>
    </row>
    <row r="17" spans="1:15" ht="36" x14ac:dyDescent="0.15">
      <c r="A17" s="1" t="d">
        <v>2023-09-21</v>
      </c>
      <c r="B17" s="3" t="s">
        <v>78</v>
      </c>
      <c r="C17" s="3" t="s">
        <v>16</v>
      </c>
      <c r="D17" s="4" t="s">
        <v>17</v>
      </c>
      <c r="E17" s="4" t="s">
        <v>18</v>
      </c>
      <c r="F17" s="5">
        <v>30998.87</v>
      </c>
      <c r="G17" s="3" t="s">
        <v>79</v>
      </c>
      <c r="H17" s="3" t="s">
        <v>80</v>
      </c>
      <c r="I17" s="4" t="s">
        <v>81</v>
      </c>
      <c r="J17" s="1" t="d">
        <v>2023-09-21</v>
      </c>
      <c r="K17" s="9" t="s">
        <v>20</v>
      </c>
      <c r="L17" s="5">
        <v>3842.97</v>
      </c>
      <c r="M17" s="1" t="d">
        <v>2024-03-18</v>
      </c>
      <c r="N17" s="6" t="s">
        <v>16</v>
      </c>
      <c r="O17" s="9" t="s">
        <v>40</v>
      </c>
    </row>
    <row r="18" spans="1:15" ht="12" x14ac:dyDescent="0.15">
      <c r="A18" s="1" t="d">
        <v>2021-12-14</v>
      </c>
      <c r="B18" s="3" t="s">
        <v>41</v>
      </c>
      <c r="C18" s="3" t="s">
        <v>42</v>
      </c>
      <c r="D18" s="4" t="s">
        <v>17</v>
      </c>
      <c r="E18" s="4" t="s">
        <v>18</v>
      </c>
      <c r="F18" s="5">
        <v>102.35</v>
      </c>
      <c r="G18" s="3" t="s">
        <v>75</v>
      </c>
      <c r="H18" s="3" t="s">
        <v>76</v>
      </c>
      <c r="I18" s="4" t="s">
        <v>82</v>
      </c>
      <c r="J18" s="1" t="d">
        <v>2021-12-14</v>
      </c>
      <c r="K18" s="9" t="s">
        <v>20</v>
      </c>
      <c r="L18" s="5">
        <v>3841.83</v>
      </c>
      <c r="M18" s="1" t="d">
        <v>2021-12-14</v>
      </c>
      <c r="N18" s="10">
        <v>776.9</v>
      </c>
      <c r="O18" s="9" t="s">
        <v>50</v>
      </c>
    </row>
    <row r="19" spans="1:15" ht="24" x14ac:dyDescent="0.15">
      <c r="A19" s="1" t="d">
        <v>2022-11-23</v>
      </c>
      <c r="B19" s="3" t="s">
        <v>41</v>
      </c>
      <c r="C19" s="3" t="s">
        <v>42</v>
      </c>
      <c r="D19" s="4" t="s">
        <v>17</v>
      </c>
      <c r="E19" s="4" t="s">
        <v>18</v>
      </c>
      <c r="F19" s="5">
        <v>45.4</v>
      </c>
      <c r="G19" s="3" t="s">
        <v>83</v>
      </c>
      <c r="H19" s="3" t="s">
        <v>16</v>
      </c>
      <c r="I19" s="4" t="s">
        <v>84</v>
      </c>
      <c r="J19" s="1" t="d">
        <v>2022-11-23</v>
      </c>
      <c r="K19" s="9" t="s">
        <v>20</v>
      </c>
      <c r="L19" s="5">
        <v>3694.6</v>
      </c>
      <c r="M19" s="1" t="d">
        <v>2022-11-23</v>
      </c>
      <c r="N19" s="10">
        <v>776.9</v>
      </c>
      <c r="O19" s="9" t="s">
        <v>85</v>
      </c>
    </row>
    <row r="20" spans="1:15" ht="12" x14ac:dyDescent="0.15">
      <c r="A20" s="1" t="d">
        <v>2021-09-08</v>
      </c>
      <c r="B20" s="3" t="s">
        <v>86</v>
      </c>
      <c r="C20" s="3" t="s">
        <v>87</v>
      </c>
      <c r="D20" s="4" t="s">
        <v>17</v>
      </c>
      <c r="E20" s="4" t="s">
        <v>18</v>
      </c>
      <c r="F20" s="6" t="s">
        <v>16</v>
      </c>
      <c r="G20" s="3" t="s">
        <v>16</v>
      </c>
      <c r="H20" s="3" t="s">
        <v>16</v>
      </c>
      <c r="I20" s="4" t="s">
        <v>88</v>
      </c>
      <c r="J20" s="1" t="d">
        <v>2021-09-08</v>
      </c>
      <c r="K20" s="9" t="s">
        <v>20</v>
      </c>
      <c r="L20" s="5">
        <v>3311.12</v>
      </c>
      <c r="M20" s="1" t="d">
        <v>2021-09-08</v>
      </c>
      <c r="N20" s="10">
        <v>396</v>
      </c>
      <c r="O20" s="9" t="s">
        <v>31</v>
      </c>
    </row>
    <row r="21" spans="1:15" ht="24" x14ac:dyDescent="0.15">
      <c r="A21" s="1" t="d">
        <v>2022-01-31</v>
      </c>
      <c r="B21" s="3" t="s">
        <v>89</v>
      </c>
      <c r="C21" s="3" t="s">
        <v>16</v>
      </c>
      <c r="D21" s="4" t="s">
        <v>17</v>
      </c>
      <c r="E21" s="4" t="s">
        <v>18</v>
      </c>
      <c r="F21" s="5">
        <v>17182.11</v>
      </c>
      <c r="G21" s="3" t="s">
        <v>90</v>
      </c>
      <c r="H21" s="3" t="s">
        <v>91</v>
      </c>
      <c r="I21" s="4" t="s">
        <v>92</v>
      </c>
      <c r="J21" s="1" t="d">
        <v>2022-01-31</v>
      </c>
      <c r="K21" s="9" t="s">
        <v>20</v>
      </c>
      <c r="L21" s="5">
        <v>3217.17</v>
      </c>
      <c r="M21" s="1" t="d">
        <v>2022-09-30</v>
      </c>
      <c r="N21" s="6" t="s">
        <v>16</v>
      </c>
      <c r="O21" s="9" t="s">
        <v>93</v>
      </c>
    </row>
    <row r="22" spans="1:15" ht="24" x14ac:dyDescent="0.15">
      <c r="A22" s="1" t="d">
        <v>2023-08-25</v>
      </c>
      <c r="B22" s="3" t="s">
        <v>86</v>
      </c>
      <c r="C22" s="3" t="s">
        <v>87</v>
      </c>
      <c r="D22" s="4" t="s">
        <v>17</v>
      </c>
      <c r="E22" s="4" t="s">
        <v>18</v>
      </c>
      <c r="F22" s="6" t="s">
        <v>16</v>
      </c>
      <c r="G22" s="3" t="s">
        <v>94</v>
      </c>
      <c r="H22" s="3" t="s">
        <v>16</v>
      </c>
      <c r="I22" s="4" t="s">
        <v>95</v>
      </c>
      <c r="J22" s="1" t="d">
        <v>2023-08-25</v>
      </c>
      <c r="K22" s="9" t="s">
        <v>20</v>
      </c>
      <c r="L22" s="5">
        <v>3164.63</v>
      </c>
      <c r="M22" s="1" t="d">
        <v>2023-08-24</v>
      </c>
      <c r="N22" s="10">
        <v>396</v>
      </c>
      <c r="O22" s="9" t="s">
        <v>96</v>
      </c>
    </row>
    <row r="23" spans="1:15" ht="12" x14ac:dyDescent="0.15">
      <c r="A23" s="1" t="d">
        <v>2022-08-25</v>
      </c>
      <c r="B23" s="3" t="s">
        <v>97</v>
      </c>
      <c r="C23" s="3" t="s">
        <v>16</v>
      </c>
      <c r="D23" s="4" t="s">
        <v>17</v>
      </c>
      <c r="E23" s="4" t="s">
        <v>18</v>
      </c>
      <c r="F23" s="5">
        <v>6477.38</v>
      </c>
      <c r="G23" s="3" t="s">
        <v>98</v>
      </c>
      <c r="H23" s="3" t="s">
        <v>99</v>
      </c>
      <c r="I23" s="4" t="s">
        <v>100</v>
      </c>
      <c r="J23" s="1" t="d">
        <v>2022-08-25</v>
      </c>
      <c r="K23" s="9" t="s">
        <v>20</v>
      </c>
      <c r="L23" s="5">
        <v>2743.8</v>
      </c>
      <c r="M23" s="1" t="d">
        <v>2023-01-31</v>
      </c>
      <c r="N23" s="6" t="s">
        <v>16</v>
      </c>
      <c r="O23" s="9" t="s">
        <v>101</v>
      </c>
    </row>
    <row r="24" spans="1:15" ht="12" x14ac:dyDescent="0.15">
      <c r="A24" s="1" t="d">
        <v>2023-01-11</v>
      </c>
      <c r="B24" s="3" t="s">
        <v>102</v>
      </c>
      <c r="C24" s="3" t="s">
        <v>103</v>
      </c>
      <c r="D24" s="4" t="s">
        <v>17</v>
      </c>
      <c r="E24" s="4" t="s">
        <v>18</v>
      </c>
      <c r="F24" s="6" t="s">
        <v>16</v>
      </c>
      <c r="G24" s="3" t="s">
        <v>104</v>
      </c>
      <c r="H24" s="3" t="s">
        <v>16</v>
      </c>
      <c r="I24" s="4" t="s">
        <v>105</v>
      </c>
      <c r="J24" s="1" t="d">
        <v>2023-01-11</v>
      </c>
      <c r="K24" s="9" t="s">
        <v>20</v>
      </c>
      <c r="L24" s="5">
        <v>2659.43</v>
      </c>
      <c r="M24" s="1" t="d">
        <v>2022-12-31</v>
      </c>
      <c r="N24" s="10">
        <v>282.7</v>
      </c>
      <c r="O24" s="9" t="s">
        <v>31</v>
      </c>
    </row>
    <row r="25" spans="1:15" ht="12" x14ac:dyDescent="0.15">
      <c r="A25" s="1" t="d">
        <v>2024-01-16</v>
      </c>
      <c r="B25" s="3" t="s">
        <v>106</v>
      </c>
      <c r="C25" s="3" t="s">
        <v>16</v>
      </c>
      <c r="D25" s="4" t="s">
        <v>17</v>
      </c>
      <c r="E25" s="4" t="s">
        <v>18</v>
      </c>
      <c r="F25" s="5">
        <v>35791.480000000003</v>
      </c>
      <c r="G25" s="3" t="s">
        <v>107</v>
      </c>
      <c r="H25" s="3" t="s">
        <v>108</v>
      </c>
      <c r="I25" s="4" t="s">
        <v>109</v>
      </c>
      <c r="J25" s="1" t="d">
        <v>2024-01-16</v>
      </c>
      <c r="K25" s="9" t="s">
        <v>20</v>
      </c>
      <c r="L25" s="5">
        <v>2583.1</v>
      </c>
      <c r="M25" s="1" t="d">
        <v>2025-07-17</v>
      </c>
      <c r="N25" s="10">
        <v>878</v>
      </c>
      <c r="O25" s="9" t="s">
        <v>110</v>
      </c>
    </row>
    <row r="26" spans="1:15" ht="72" x14ac:dyDescent="0.15">
      <c r="A26" s="1" t="d">
        <v>2024-10-29</v>
      </c>
      <c r="B26" s="3" t="s">
        <v>111</v>
      </c>
      <c r="C26" s="3" t="s">
        <v>16</v>
      </c>
      <c r="D26" s="4" t="s">
        <v>17</v>
      </c>
      <c r="E26" s="4" t="s">
        <v>18</v>
      </c>
      <c r="F26" s="5">
        <v>702</v>
      </c>
      <c r="G26" s="3" t="s">
        <v>112</v>
      </c>
      <c r="H26" s="3" t="s">
        <v>113</v>
      </c>
      <c r="I26" s="4" t="s">
        <v>114</v>
      </c>
      <c r="J26" s="1" t="d">
        <v>2024-10-29</v>
      </c>
      <c r="K26" s="9" t="s">
        <v>20</v>
      </c>
      <c r="L26" s="5">
        <v>2390.56</v>
      </c>
      <c r="M26" s="1" t="d">
        <v>2025-01-10</v>
      </c>
      <c r="N26" s="10">
        <v>209</v>
      </c>
      <c r="O26" s="9" t="s">
        <v>115</v>
      </c>
    </row>
    <row r="27" spans="1:15" ht="24" x14ac:dyDescent="0.15">
      <c r="A27" s="1" t="d">
        <v>2021-09-09</v>
      </c>
      <c r="B27" s="3" t="s">
        <v>116</v>
      </c>
      <c r="C27" s="3" t="s">
        <v>16</v>
      </c>
      <c r="D27" s="4" t="s">
        <v>17</v>
      </c>
      <c r="E27" s="4" t="s">
        <v>18</v>
      </c>
      <c r="F27" s="6" t="s">
        <v>16</v>
      </c>
      <c r="G27" s="3" t="s">
        <v>117</v>
      </c>
      <c r="H27" s="3" t="s">
        <v>16</v>
      </c>
      <c r="I27" s="4" t="s">
        <v>118</v>
      </c>
      <c r="J27" s="1" t="d">
        <v>2021-09-09</v>
      </c>
      <c r="K27" s="9" t="s">
        <v>20</v>
      </c>
      <c r="L27" s="5">
        <v>2377.81</v>
      </c>
      <c r="M27" s="1" t="d">
        <v>2021-09-09</v>
      </c>
      <c r="N27" s="10">
        <v>759.9</v>
      </c>
      <c r="O27" s="9" t="s">
        <v>119</v>
      </c>
    </row>
    <row r="28" spans="1:15" ht="48" x14ac:dyDescent="0.15">
      <c r="A28" s="1" t="d">
        <v>2024-08-08</v>
      </c>
      <c r="B28" s="3" t="s">
        <v>120</v>
      </c>
      <c r="C28" s="3" t="s">
        <v>16</v>
      </c>
      <c r="D28" s="4" t="s">
        <v>17</v>
      </c>
      <c r="E28" s="4" t="s">
        <v>18</v>
      </c>
      <c r="F28" s="5">
        <v>1239.77</v>
      </c>
      <c r="G28" s="3" t="s">
        <v>121</v>
      </c>
      <c r="H28" s="3" t="s">
        <v>122</v>
      </c>
      <c r="I28" s="4" t="s">
        <v>123</v>
      </c>
      <c r="J28" s="1" t="d">
        <v>2024-08-08</v>
      </c>
      <c r="K28" s="9" t="s">
        <v>20</v>
      </c>
      <c r="L28" s="5">
        <v>2178.56</v>
      </c>
      <c r="M28" s="1" t="d">
        <v>2024-11-05</v>
      </c>
      <c r="N28" s="10">
        <v>184.6</v>
      </c>
      <c r="O28" s="9" t="s">
        <v>124</v>
      </c>
    </row>
    <row r="29" spans="1:15" ht="24" x14ac:dyDescent="0.15">
      <c r="A29" s="1" t="d">
        <v>2022-09-29</v>
      </c>
      <c r="B29" s="3" t="s">
        <v>102</v>
      </c>
      <c r="C29" s="3" t="s">
        <v>103</v>
      </c>
      <c r="D29" s="4" t="s">
        <v>17</v>
      </c>
      <c r="E29" s="4" t="s">
        <v>18</v>
      </c>
      <c r="F29" s="6" t="s">
        <v>16</v>
      </c>
      <c r="G29" s="3" t="s">
        <v>125</v>
      </c>
      <c r="H29" s="3" t="s">
        <v>126</v>
      </c>
      <c r="I29" s="4" t="s">
        <v>127</v>
      </c>
      <c r="J29" s="1" t="d">
        <v>2022-09-29</v>
      </c>
      <c r="K29" s="9" t="s">
        <v>20</v>
      </c>
      <c r="L29" s="5">
        <v>2177.1</v>
      </c>
      <c r="M29" s="1" t="d">
        <v>2022-09-29</v>
      </c>
      <c r="N29" s="10">
        <v>282.7</v>
      </c>
      <c r="O29" s="9" t="s">
        <v>128</v>
      </c>
    </row>
    <row r="30" spans="1:15" ht="12" x14ac:dyDescent="0.15">
      <c r="A30" s="1" t="d">
        <v>2021-10-18</v>
      </c>
      <c r="B30" s="3" t="s">
        <v>129</v>
      </c>
      <c r="C30" s="3" t="s">
        <v>16</v>
      </c>
      <c r="D30" s="4" t="s">
        <v>17</v>
      </c>
      <c r="E30" s="4" t="s">
        <v>18</v>
      </c>
      <c r="F30" s="5">
        <v>2500</v>
      </c>
      <c r="G30" s="3" t="s">
        <v>130</v>
      </c>
      <c r="H30" s="3" t="s">
        <v>131</v>
      </c>
      <c r="I30" s="4" t="s">
        <v>132</v>
      </c>
      <c r="J30" s="1" t="d">
        <v>2021-10-18</v>
      </c>
      <c r="K30" s="9" t="s">
        <v>20</v>
      </c>
      <c r="L30" s="5">
        <v>2035</v>
      </c>
      <c r="M30" s="1" t="d">
        <v>2021-12-01</v>
      </c>
      <c r="N30" s="6" t="s">
        <v>16</v>
      </c>
      <c r="O30" s="9" t="s">
        <v>40</v>
      </c>
    </row>
    <row r="31" spans="1:15" ht="60" x14ac:dyDescent="0.15">
      <c r="A31" s="1" t="d">
        <v>2024-11-15</v>
      </c>
      <c r="B31" s="3" t="s">
        <v>120</v>
      </c>
      <c r="C31" s="3" t="s">
        <v>16</v>
      </c>
      <c r="D31" s="4" t="s">
        <v>17</v>
      </c>
      <c r="E31" s="4" t="s">
        <v>18</v>
      </c>
      <c r="F31" s="5">
        <v>2987.11</v>
      </c>
      <c r="G31" s="3" t="s">
        <v>121</v>
      </c>
      <c r="H31" s="3" t="s">
        <v>133</v>
      </c>
      <c r="I31" s="4" t="s">
        <v>134</v>
      </c>
      <c r="J31" s="1" t="d">
        <v>2024-11-15</v>
      </c>
      <c r="K31" s="9" t="s">
        <v>20</v>
      </c>
      <c r="L31" s="5">
        <v>2019.35</v>
      </c>
      <c r="M31" s="1" t="d">
        <v>2025-02-19</v>
      </c>
      <c r="N31" s="10">
        <v>184.6</v>
      </c>
      <c r="O31" s="11" t="s">
        <v>135</v>
      </c>
    </row>
    <row r="32" spans="1:15" ht="12" x14ac:dyDescent="0.15">
      <c r="A32" s="1" t="d">
        <v>2022-03-07</v>
      </c>
      <c r="B32" s="3" t="s">
        <v>136</v>
      </c>
      <c r="C32" s="3" t="s">
        <v>16</v>
      </c>
      <c r="D32" s="4" t="s">
        <v>17</v>
      </c>
      <c r="E32" s="4" t="s">
        <v>18</v>
      </c>
      <c r="F32" s="6" t="s">
        <v>16</v>
      </c>
      <c r="G32" s="3" t="s">
        <v>137</v>
      </c>
      <c r="H32" s="3" t="s">
        <v>16</v>
      </c>
      <c r="I32" s="4" t="s">
        <v>138</v>
      </c>
      <c r="J32" s="1" t="d">
        <v>2022-03-07</v>
      </c>
      <c r="K32" s="9" t="s">
        <v>20</v>
      </c>
      <c r="L32" s="5">
        <v>2000</v>
      </c>
      <c r="M32" s="1" t="d">
        <v>2022-03-07</v>
      </c>
      <c r="N32" s="6" t="s">
        <v>16</v>
      </c>
      <c r="O32" s="9" t="s">
        <v>139</v>
      </c>
    </row>
    <row r="33" spans="1:15" ht="48" x14ac:dyDescent="0.15">
      <c r="A33" s="1" t="d">
        <v>2021-11-08</v>
      </c>
      <c r="B33" s="3" t="s">
        <v>140</v>
      </c>
      <c r="C33" s="3" t="s">
        <v>16</v>
      </c>
      <c r="D33" s="4" t="s">
        <v>17</v>
      </c>
      <c r="E33" s="4" t="s">
        <v>18</v>
      </c>
      <c r="F33" s="5">
        <v>20862.21</v>
      </c>
      <c r="G33" s="3" t="s">
        <v>141</v>
      </c>
      <c r="H33" s="3" t="s">
        <v>142</v>
      </c>
      <c r="I33" s="4" t="s">
        <v>143</v>
      </c>
      <c r="J33" s="1" t="d">
        <v>2021-11-08</v>
      </c>
      <c r="K33" s="9" t="s">
        <v>20</v>
      </c>
      <c r="L33" s="5">
        <v>1826</v>
      </c>
      <c r="M33" s="1" t="d">
        <v>2022-03-01</v>
      </c>
      <c r="N33" s="6" t="s">
        <v>16</v>
      </c>
      <c r="O33" s="9" t="s">
        <v>144</v>
      </c>
    </row>
    <row r="34" spans="1:15" ht="24" x14ac:dyDescent="0.15">
      <c r="A34" s="1" t="d">
        <v>2025-02-07</v>
      </c>
      <c r="B34" s="3" t="s">
        <v>145</v>
      </c>
      <c r="C34" s="3" t="s">
        <v>16</v>
      </c>
      <c r="D34" s="4" t="s">
        <v>17</v>
      </c>
      <c r="E34" s="4" t="s">
        <v>18</v>
      </c>
      <c r="F34" s="5">
        <v>1010.8</v>
      </c>
      <c r="G34" s="3" t="s">
        <v>146</v>
      </c>
      <c r="H34" s="3" t="s">
        <v>147</v>
      </c>
      <c r="I34" s="4" t="s">
        <v>148</v>
      </c>
      <c r="J34" s="1" t="d">
        <v>2025-02-07</v>
      </c>
      <c r="K34" s="9" t="s">
        <v>20</v>
      </c>
      <c r="L34" s="5">
        <v>1801.51</v>
      </c>
      <c r="M34" s="1" t="d">
        <v>2025-04-22</v>
      </c>
      <c r="N34" s="10">
        <v>100.2</v>
      </c>
      <c r="O34" s="9" t="s">
        <v>149</v>
      </c>
    </row>
    <row r="35" spans="1:15" ht="48" x14ac:dyDescent="0.15">
      <c r="A35" s="1" t="d">
        <v>2022-02-24</v>
      </c>
      <c r="B35" s="3" t="s">
        <v>150</v>
      </c>
      <c r="C35" s="3" t="s">
        <v>16</v>
      </c>
      <c r="D35" s="4" t="s">
        <v>17</v>
      </c>
      <c r="E35" s="4" t="s">
        <v>18</v>
      </c>
      <c r="F35" s="5">
        <v>291.2</v>
      </c>
      <c r="G35" s="3" t="s">
        <v>151</v>
      </c>
      <c r="H35" s="3" t="s">
        <v>16</v>
      </c>
      <c r="I35" s="4" t="s">
        <v>152</v>
      </c>
      <c r="J35" s="1" t="d">
        <v>2022-02-24</v>
      </c>
      <c r="K35" s="9" t="s">
        <v>20</v>
      </c>
      <c r="L35" s="5">
        <v>1766.63</v>
      </c>
      <c r="M35" s="1" t="d">
        <v>2022-04-20</v>
      </c>
      <c r="N35" s="6" t="s">
        <v>16</v>
      </c>
      <c r="O35" s="9" t="s">
        <v>153</v>
      </c>
    </row>
    <row r="36" spans="1:15" ht="36" x14ac:dyDescent="0.15">
      <c r="A36" s="1" t="d">
        <v>2022-04-07</v>
      </c>
      <c r="B36" s="3" t="s">
        <v>154</v>
      </c>
      <c r="C36" s="3" t="s">
        <v>16</v>
      </c>
      <c r="D36" s="4" t="s">
        <v>17</v>
      </c>
      <c r="E36" s="4" t="s">
        <v>18</v>
      </c>
      <c r="F36" s="5">
        <v>8340.7099999999991</v>
      </c>
      <c r="G36" s="3" t="s">
        <v>155</v>
      </c>
      <c r="H36" s="3" t="s">
        <v>16</v>
      </c>
      <c r="I36" s="4" t="s">
        <v>156</v>
      </c>
      <c r="J36" s="1" t="d">
        <v>2022-04-07</v>
      </c>
      <c r="K36" s="9" t="s">
        <v>20</v>
      </c>
      <c r="L36" s="5">
        <v>1756.5</v>
      </c>
      <c r="M36" s="1" t="d">
        <v>2022-07-05</v>
      </c>
      <c r="N36" s="6" t="s">
        <v>16</v>
      </c>
      <c r="O36" s="9" t="s">
        <v>157</v>
      </c>
    </row>
    <row r="37" spans="1:15" ht="24" x14ac:dyDescent="0.15">
      <c r="A37" s="1" t="d">
        <v>2022-12-16</v>
      </c>
      <c r="B37" s="3" t="s">
        <v>158</v>
      </c>
      <c r="C37" s="3" t="s">
        <v>16</v>
      </c>
      <c r="D37" s="4" t="s">
        <v>17</v>
      </c>
      <c r="E37" s="4" t="s">
        <v>18</v>
      </c>
      <c r="F37" s="5">
        <v>6570.02</v>
      </c>
      <c r="G37" s="3" t="s">
        <v>159</v>
      </c>
      <c r="H37" s="3" t="s">
        <v>108</v>
      </c>
      <c r="I37" s="4" t="s">
        <v>160</v>
      </c>
      <c r="J37" s="1" t="d">
        <v>2022-12-16</v>
      </c>
      <c r="K37" s="9" t="s">
        <v>20</v>
      </c>
      <c r="L37" s="5">
        <v>1747</v>
      </c>
      <c r="M37" s="1" t="d">
        <v>2023-05-03</v>
      </c>
      <c r="N37" s="6" t="s">
        <v>16</v>
      </c>
      <c r="O37" s="9" t="s">
        <v>161</v>
      </c>
    </row>
    <row r="38" spans="1:15" ht="12" x14ac:dyDescent="0.15">
      <c r="A38" s="1" t="d">
        <v>2021-11-09</v>
      </c>
      <c r="B38" s="3" t="s">
        <v>162</v>
      </c>
      <c r="C38" s="3" t="s">
        <v>16</v>
      </c>
      <c r="D38" s="4" t="s">
        <v>17</v>
      </c>
      <c r="E38" s="4" t="s">
        <v>18</v>
      </c>
      <c r="F38" s="6" t="s">
        <v>16</v>
      </c>
      <c r="G38" s="3" t="s">
        <v>16</v>
      </c>
      <c r="H38" s="3" t="s">
        <v>163</v>
      </c>
      <c r="I38" s="4" t="s">
        <v>164</v>
      </c>
      <c r="J38" s="1" t="d">
        <v>2021-11-09</v>
      </c>
      <c r="K38" s="9" t="s">
        <v>20</v>
      </c>
      <c r="L38" s="5">
        <v>1734.66</v>
      </c>
      <c r="M38" s="1" t="d">
        <v>2021-11-01</v>
      </c>
      <c r="N38" s="6" t="s">
        <v>16</v>
      </c>
      <c r="O38" s="9" t="s">
        <v>50</v>
      </c>
    </row>
    <row r="39" spans="1:15" ht="36" x14ac:dyDescent="0.15">
      <c r="A39" s="1" t="d">
        <v>2025-05-27</v>
      </c>
      <c r="B39" s="3" t="s">
        <v>165</v>
      </c>
      <c r="C39" s="3" t="s">
        <v>16</v>
      </c>
      <c r="D39" s="4" t="s">
        <v>17</v>
      </c>
      <c r="E39" s="4" t="s">
        <v>18</v>
      </c>
      <c r="F39" s="5">
        <v>10097.75</v>
      </c>
      <c r="G39" s="3" t="s">
        <v>166</v>
      </c>
      <c r="H39" s="3" t="s">
        <v>167</v>
      </c>
      <c r="I39" s="4" t="s">
        <v>168</v>
      </c>
      <c r="J39" s="1" t="d">
        <v>2025-05-27</v>
      </c>
      <c r="K39" s="9" t="s">
        <v>20</v>
      </c>
      <c r="L39" s="5">
        <v>1655.31</v>
      </c>
      <c r="M39" s="1" t="d">
        <v>2025-11-18</v>
      </c>
      <c r="N39" s="10">
        <v>280.89999999999998</v>
      </c>
      <c r="O39" s="9" t="s">
        <v>40</v>
      </c>
    </row>
    <row r="40" spans="1:15" ht="48" x14ac:dyDescent="0.15">
      <c r="A40" s="1" t="d">
        <v>2024-07-24</v>
      </c>
      <c r="B40" s="3" t="s">
        <v>169</v>
      </c>
      <c r="C40" s="3" t="s">
        <v>16</v>
      </c>
      <c r="D40" s="4" t="s">
        <v>17</v>
      </c>
      <c r="E40" s="4" t="s">
        <v>18</v>
      </c>
      <c r="F40" s="5">
        <v>803.5</v>
      </c>
      <c r="G40" s="3" t="s">
        <v>170</v>
      </c>
      <c r="H40" s="3" t="s">
        <v>16</v>
      </c>
      <c r="I40" s="4" t="s">
        <v>171</v>
      </c>
      <c r="J40" s="1" t="d">
        <v>2024-07-24</v>
      </c>
      <c r="K40" s="9" t="s">
        <v>20</v>
      </c>
      <c r="L40" s="5">
        <v>1613.63</v>
      </c>
      <c r="M40" s="1" t="d">
        <v>2025-02-28</v>
      </c>
      <c r="N40" s="6" t="s">
        <v>16</v>
      </c>
      <c r="O40" s="9" t="s">
        <v>172</v>
      </c>
    </row>
    <row r="41" spans="1:15" ht="24" x14ac:dyDescent="0.15">
      <c r="A41" s="1" t="d">
        <v>2024-07-09</v>
      </c>
      <c r="B41" s="3" t="s">
        <v>169</v>
      </c>
      <c r="C41" s="3" t="s">
        <v>16</v>
      </c>
      <c r="D41" s="4" t="s">
        <v>17</v>
      </c>
      <c r="E41" s="4" t="s">
        <v>18</v>
      </c>
      <c r="F41" s="5">
        <v>2217.86</v>
      </c>
      <c r="G41" s="3" t="s">
        <v>170</v>
      </c>
      <c r="H41" s="3" t="s">
        <v>173</v>
      </c>
      <c r="I41" s="4" t="s">
        <v>174</v>
      </c>
      <c r="J41" s="1" t="d">
        <v>2024-07-09</v>
      </c>
      <c r="K41" s="9" t="s">
        <v>20</v>
      </c>
      <c r="L41" s="5">
        <v>1613.63</v>
      </c>
      <c r="M41" s="1" t="d">
        <v>2024-12-17</v>
      </c>
      <c r="N41" s="6" t="s">
        <v>16</v>
      </c>
      <c r="O41" s="9" t="s">
        <v>175</v>
      </c>
    </row>
    <row r="42" spans="1:15" ht="12" x14ac:dyDescent="0.15">
      <c r="A42" s="1" t="d">
        <v>2022-05-04</v>
      </c>
      <c r="B42" s="3" t="s">
        <v>176</v>
      </c>
      <c r="C42" s="3" t="s">
        <v>16</v>
      </c>
      <c r="D42" s="4" t="s">
        <v>17</v>
      </c>
      <c r="E42" s="4" t="s">
        <v>18</v>
      </c>
      <c r="F42" s="5">
        <v>14772.33</v>
      </c>
      <c r="G42" s="3" t="s">
        <v>177</v>
      </c>
      <c r="H42" s="3" t="s">
        <v>16</v>
      </c>
      <c r="I42" s="4" t="s">
        <v>178</v>
      </c>
      <c r="J42" s="1" t="d">
        <v>2022-05-04</v>
      </c>
      <c r="K42" s="9" t="s">
        <v>20</v>
      </c>
      <c r="L42" s="5">
        <v>1551.9</v>
      </c>
      <c r="M42" s="1" t="d">
        <v>2023-09-05</v>
      </c>
      <c r="N42" s="6" t="s">
        <v>16</v>
      </c>
      <c r="O42" s="9" t="s">
        <v>110</v>
      </c>
    </row>
    <row r="43" spans="1:15" ht="24" x14ac:dyDescent="0.15">
      <c r="A43" s="1" t="d">
        <v>2022-03-21</v>
      </c>
      <c r="B43" s="3" t="s">
        <v>179</v>
      </c>
      <c r="C43" s="3" t="s">
        <v>180</v>
      </c>
      <c r="D43" s="4" t="s">
        <v>17</v>
      </c>
      <c r="E43" s="4" t="s">
        <v>18</v>
      </c>
      <c r="F43" s="5">
        <v>92.94</v>
      </c>
      <c r="G43" s="3" t="s">
        <v>181</v>
      </c>
      <c r="H43" s="3" t="s">
        <v>16</v>
      </c>
      <c r="I43" s="4" t="s">
        <v>182</v>
      </c>
      <c r="J43" s="1" t="d">
        <v>2022-03-21</v>
      </c>
      <c r="K43" s="9" t="s">
        <v>20</v>
      </c>
      <c r="L43" s="5">
        <v>1526.16</v>
      </c>
      <c r="M43" s="1" t="d">
        <v>2022-04-13</v>
      </c>
      <c r="N43" s="10">
        <v>131.4</v>
      </c>
      <c r="O43" s="9" t="s">
        <v>183</v>
      </c>
    </row>
    <row r="44" spans="1:15" ht="12" x14ac:dyDescent="0.15">
      <c r="A44" s="1" t="d">
        <v>2026-05-13</v>
      </c>
      <c r="B44" s="3" t="s">
        <v>184</v>
      </c>
      <c r="C44" s="3" t="s">
        <v>185</v>
      </c>
      <c r="D44" s="4" t="s">
        <v>17</v>
      </c>
      <c r="E44" s="4" t="s">
        <v>18</v>
      </c>
      <c r="F44" s="5">
        <v>942.2</v>
      </c>
      <c r="G44" s="3" t="s">
        <v>186</v>
      </c>
      <c r="H44" s="3" t="s">
        <v>187</v>
      </c>
      <c r="I44" s="4" t="s">
        <v>188</v>
      </c>
      <c r="J44" s="1" t="d">
        <v>2026-05-13</v>
      </c>
      <c r="K44" s="9" t="s">
        <v>20</v>
      </c>
      <c r="L44" s="5">
        <v>1506.97</v>
      </c>
      <c r="M44" s="1" t="d">
        <v>2026-08-24</v>
      </c>
      <c r="N44" s="10">
        <v>483.1</v>
      </c>
      <c r="O44" s="9" t="s">
        <v>50</v>
      </c>
    </row>
    <row r="45" spans="1:15" ht="96" x14ac:dyDescent="0.15">
      <c r="A45" s="1" t="d">
        <v>2024-11-06</v>
      </c>
      <c r="B45" s="3" t="s">
        <v>189</v>
      </c>
      <c r="C45" s="3" t="s">
        <v>16</v>
      </c>
      <c r="D45" s="4" t="s">
        <v>17</v>
      </c>
      <c r="E45" s="4" t="s">
        <v>18</v>
      </c>
      <c r="F45" s="5">
        <v>1967.76</v>
      </c>
      <c r="G45" s="3" t="s">
        <v>51</v>
      </c>
      <c r="H45" s="3" t="s">
        <v>190</v>
      </c>
      <c r="I45" s="4" t="s">
        <v>191</v>
      </c>
      <c r="J45" s="1" t="d">
        <v>2024-11-06</v>
      </c>
      <c r="K45" s="9" t="s">
        <v>20</v>
      </c>
      <c r="L45" s="5">
        <v>1484.46</v>
      </c>
      <c r="M45" s="1" t="d">
        <v>2024-12-18</v>
      </c>
      <c r="N45" s="10">
        <v>167</v>
      </c>
      <c r="O45" s="9" t="s">
        <v>192</v>
      </c>
    </row>
    <row r="46" spans="1:15" ht="36" x14ac:dyDescent="0.15">
      <c r="A46" s="1" t="d">
        <v>2023-03-12</v>
      </c>
      <c r="B46" s="3" t="s">
        <v>193</v>
      </c>
      <c r="C46" s="3" t="s">
        <v>16</v>
      </c>
      <c r="D46" s="4" t="s">
        <v>17</v>
      </c>
      <c r="E46" s="4" t="s">
        <v>18</v>
      </c>
      <c r="F46" s="5">
        <v>11166.16</v>
      </c>
      <c r="G46" s="3" t="s">
        <v>194</v>
      </c>
      <c r="H46" s="3" t="s">
        <v>195</v>
      </c>
      <c r="I46" s="4" t="s">
        <v>196</v>
      </c>
      <c r="J46" s="1" t="d">
        <v>2023-03-12</v>
      </c>
      <c r="K46" s="9" t="s">
        <v>20</v>
      </c>
      <c r="L46" s="5">
        <v>1458.63</v>
      </c>
      <c r="M46" s="1" t="d">
        <v>2023-06-28</v>
      </c>
      <c r="N46" s="6" t="s">
        <v>16</v>
      </c>
      <c r="O46" s="9" t="s">
        <v>197</v>
      </c>
    </row>
    <row r="47" spans="1:15" ht="24" x14ac:dyDescent="0.15">
      <c r="A47" s="1" t="d">
        <v>2022-06-24</v>
      </c>
      <c r="B47" s="3" t="s">
        <v>198</v>
      </c>
      <c r="C47" s="3" t="s">
        <v>16</v>
      </c>
      <c r="D47" s="4" t="s">
        <v>17</v>
      </c>
      <c r="E47" s="4" t="s">
        <v>18</v>
      </c>
      <c r="F47" s="5">
        <v>10989.54</v>
      </c>
      <c r="G47" s="3" t="s">
        <v>199</v>
      </c>
      <c r="H47" s="3" t="s">
        <v>200</v>
      </c>
      <c r="I47" s="4" t="s">
        <v>201</v>
      </c>
      <c r="J47" s="1" t="d">
        <v>2022-06-24</v>
      </c>
      <c r="K47" s="9" t="s">
        <v>20</v>
      </c>
      <c r="L47" s="5">
        <v>1428.88</v>
      </c>
      <c r="M47" s="1" t="d">
        <v>2022-11-22</v>
      </c>
      <c r="N47" s="6" t="s">
        <v>16</v>
      </c>
      <c r="O47" s="9" t="s">
        <v>202</v>
      </c>
    </row>
    <row r="48" spans="1:15" ht="12" x14ac:dyDescent="0.15">
      <c r="A48" s="1" t="d">
        <v>2026-02-02</v>
      </c>
      <c r="B48" s="3" t="s">
        <v>203</v>
      </c>
      <c r="C48" s="3" t="s">
        <v>204</v>
      </c>
      <c r="D48" s="4" t="s">
        <v>17</v>
      </c>
      <c r="E48" s="4" t="s">
        <v>18</v>
      </c>
      <c r="F48" s="6" t="s">
        <v>16</v>
      </c>
      <c r="G48" s="3" t="s">
        <v>73</v>
      </c>
      <c r="H48" s="3" t="s">
        <v>16</v>
      </c>
      <c r="I48" s="4" t="s">
        <v>205</v>
      </c>
      <c r="J48" s="1" t="d">
        <v>2026-02-02</v>
      </c>
      <c r="K48" s="9" t="s">
        <v>20</v>
      </c>
      <c r="L48" s="5">
        <v>1400.21</v>
      </c>
      <c r="M48" s="1" t="d">
        <v>2026-02-02</v>
      </c>
      <c r="N48" s="10">
        <v>66.3</v>
      </c>
      <c r="O48" s="9" t="s">
        <v>119</v>
      </c>
    </row>
    <row r="49" spans="1:15" ht="12" x14ac:dyDescent="0.15">
      <c r="A49" s="1" t="d">
        <v>2022-09-21</v>
      </c>
      <c r="B49" s="3" t="s">
        <v>206</v>
      </c>
      <c r="C49" s="3" t="s">
        <v>16</v>
      </c>
      <c r="D49" s="4" t="s">
        <v>17</v>
      </c>
      <c r="E49" s="4" t="s">
        <v>18</v>
      </c>
      <c r="F49" s="5">
        <v>4683.21</v>
      </c>
      <c r="G49" s="3" t="s">
        <v>207</v>
      </c>
      <c r="H49" s="3" t="s">
        <v>16</v>
      </c>
      <c r="I49" s="4" t="s">
        <v>208</v>
      </c>
      <c r="J49" s="1" t="d">
        <v>2022-09-21</v>
      </c>
      <c r="K49" s="9" t="s">
        <v>20</v>
      </c>
      <c r="L49" s="5">
        <v>1399.44</v>
      </c>
      <c r="M49" s="1" t="d">
        <v>2023-01-18</v>
      </c>
      <c r="N49" s="6" t="s">
        <v>16</v>
      </c>
      <c r="O49" s="9" t="s">
        <v>61</v>
      </c>
    </row>
    <row r="50" spans="1:15" ht="12" x14ac:dyDescent="0.15">
      <c r="A50" s="1" t="d">
        <v>2022-05-06</v>
      </c>
      <c r="B50" s="3" t="s">
        <v>209</v>
      </c>
      <c r="C50" s="3" t="s">
        <v>16</v>
      </c>
      <c r="D50" s="4" t="s">
        <v>17</v>
      </c>
      <c r="E50" s="4" t="s">
        <v>18</v>
      </c>
      <c r="F50" s="5">
        <v>7543.48</v>
      </c>
      <c r="G50" s="3" t="s">
        <v>210</v>
      </c>
      <c r="H50" s="3" t="s">
        <v>16</v>
      </c>
      <c r="I50" s="4" t="s">
        <v>211</v>
      </c>
      <c r="J50" s="1" t="d">
        <v>2022-05-06</v>
      </c>
      <c r="K50" s="9" t="s">
        <v>20</v>
      </c>
      <c r="L50" s="5">
        <v>1386.92</v>
      </c>
      <c r="M50" s="1" t="d">
        <v>2022-11-14</v>
      </c>
      <c r="N50" s="10">
        <v>750.3</v>
      </c>
      <c r="O50" s="9" t="s">
        <v>212</v>
      </c>
    </row>
    <row r="51" spans="1:15" ht="36" x14ac:dyDescent="0.15">
      <c r="A51" s="1" t="d">
        <v>2024-07-11</v>
      </c>
      <c r="B51" s="3" t="s">
        <v>213</v>
      </c>
      <c r="C51" s="3" t="s">
        <v>16</v>
      </c>
      <c r="D51" s="4" t="s">
        <v>17</v>
      </c>
      <c r="E51" s="4" t="s">
        <v>18</v>
      </c>
      <c r="F51" s="5">
        <v>4407.6499999999996</v>
      </c>
      <c r="G51" s="3" t="s">
        <v>214</v>
      </c>
      <c r="H51" s="3" t="s">
        <v>215</v>
      </c>
      <c r="I51" s="4" t="s">
        <v>216</v>
      </c>
      <c r="J51" s="1" t="d">
        <v>2024-07-11</v>
      </c>
      <c r="K51" s="9" t="s">
        <v>20</v>
      </c>
      <c r="L51" s="5">
        <v>1307.7</v>
      </c>
      <c r="M51" s="1" t="d">
        <v>2024-11-25</v>
      </c>
      <c r="N51" s="6" t="s">
        <v>16</v>
      </c>
      <c r="O51" s="9" t="s">
        <v>217</v>
      </c>
    </row>
    <row r="52" spans="1:15" ht="24" x14ac:dyDescent="0.15">
      <c r="A52" s="1" t="d">
        <v>2023-06-06</v>
      </c>
      <c r="B52" s="3" t="s">
        <v>218</v>
      </c>
      <c r="C52" s="3" t="s">
        <v>219</v>
      </c>
      <c r="D52" s="4" t="s">
        <v>17</v>
      </c>
      <c r="E52" s="4" t="s">
        <v>18</v>
      </c>
      <c r="F52" s="6" t="s">
        <v>16</v>
      </c>
      <c r="G52" s="3" t="s">
        <v>16</v>
      </c>
      <c r="H52" s="3" t="s">
        <v>16</v>
      </c>
      <c r="I52" s="4" t="s">
        <v>220</v>
      </c>
      <c r="J52" s="1" t="d">
        <v>2023-06-06</v>
      </c>
      <c r="K52" s="9" t="s">
        <v>20</v>
      </c>
      <c r="L52" s="5">
        <v>1304.5</v>
      </c>
      <c r="M52" s="1" t="d">
        <v>2023-06-05</v>
      </c>
      <c r="N52" s="10">
        <v>19</v>
      </c>
      <c r="O52" s="9" t="s">
        <v>221</v>
      </c>
    </row>
    <row r="53" spans="1:15" ht="24" x14ac:dyDescent="0.15">
      <c r="A53" s="1" t="d">
        <v>2021-11-22</v>
      </c>
      <c r="B53" s="3" t="s">
        <v>222</v>
      </c>
      <c r="C53" s="3" t="s">
        <v>16</v>
      </c>
      <c r="D53" s="4" t="s">
        <v>17</v>
      </c>
      <c r="E53" s="4" t="s">
        <v>18</v>
      </c>
      <c r="F53" s="5">
        <v>6364.26</v>
      </c>
      <c r="G53" s="3" t="s">
        <v>223</v>
      </c>
      <c r="H53" s="3" t="s">
        <v>224</v>
      </c>
      <c r="I53" s="4" t="s">
        <v>225</v>
      </c>
      <c r="J53" s="1" t="d">
        <v>2021-11-22</v>
      </c>
      <c r="K53" s="9" t="s">
        <v>20</v>
      </c>
      <c r="L53" s="5">
        <v>1295.67</v>
      </c>
      <c r="M53" s="1" t="d">
        <v>2022-07-21</v>
      </c>
      <c r="N53" s="6" t="s">
        <v>16</v>
      </c>
      <c r="O53" s="9" t="s">
        <v>101</v>
      </c>
    </row>
    <row r="54" spans="1:15" ht="12" x14ac:dyDescent="0.15">
      <c r="A54" s="1" t="d">
        <v>2024-11-04</v>
      </c>
      <c r="B54" s="3" t="s">
        <v>226</v>
      </c>
      <c r="C54" s="3" t="s">
        <v>227</v>
      </c>
      <c r="D54" s="4" t="s">
        <v>17</v>
      </c>
      <c r="E54" s="4" t="s">
        <v>18</v>
      </c>
      <c r="F54" s="7">
        <v>0.25</v>
      </c>
      <c r="G54" s="3" t="s">
        <v>228</v>
      </c>
      <c r="H54" s="3" t="s">
        <v>16</v>
      </c>
      <c r="I54" s="4" t="s">
        <v>229</v>
      </c>
      <c r="J54" s="1" t="d">
        <v>2024-11-04</v>
      </c>
      <c r="K54" s="9" t="s">
        <v>20</v>
      </c>
      <c r="L54" s="5">
        <v>1283.99</v>
      </c>
      <c r="M54" s="1" t="d">
        <v>2024-11-01</v>
      </c>
      <c r="N54" s="10">
        <v>3789</v>
      </c>
      <c r="O54" s="9" t="s">
        <v>61</v>
      </c>
    </row>
    <row r="55" spans="1:15" ht="12" x14ac:dyDescent="0.15">
      <c r="A55" s="1" t="d">
        <v>2025-07-30</v>
      </c>
      <c r="B55" s="3" t="s">
        <v>230</v>
      </c>
      <c r="C55" s="3" t="s">
        <v>16</v>
      </c>
      <c r="D55" s="4" t="s">
        <v>17</v>
      </c>
      <c r="E55" s="4" t="s">
        <v>18</v>
      </c>
      <c r="F55" s="5">
        <v>26153.37</v>
      </c>
      <c r="G55" s="3" t="s">
        <v>231</v>
      </c>
      <c r="H55" s="3" t="s">
        <v>232</v>
      </c>
      <c r="I55" s="4" t="s">
        <v>233</v>
      </c>
      <c r="J55" s="1" t="d">
        <v>2025-07-30</v>
      </c>
      <c r="K55" s="9" t="s">
        <v>20</v>
      </c>
      <c r="L55" s="5">
        <v>1200.1199999999999</v>
      </c>
      <c r="M55" s="1" t="d">
        <v>2026-02-11</v>
      </c>
      <c r="N55" s="5">
        <v>-2.9</v>
      </c>
      <c r="O55" s="9" t="s">
        <v>110</v>
      </c>
    </row>
    <row r="56" spans="1:15" ht="48" x14ac:dyDescent="0.15">
      <c r="A56" s="1" t="d">
        <v>2023-12-12</v>
      </c>
      <c r="B56" s="3" t="s">
        <v>234</v>
      </c>
      <c r="C56" s="3" t="s">
        <v>16</v>
      </c>
      <c r="D56" s="4" t="s">
        <v>17</v>
      </c>
      <c r="E56" s="4" t="s">
        <v>18</v>
      </c>
      <c r="F56" s="5">
        <v>654.83000000000004</v>
      </c>
      <c r="G56" s="3" t="s">
        <v>16</v>
      </c>
      <c r="H56" s="3" t="s">
        <v>16</v>
      </c>
      <c r="I56" s="4" t="s">
        <v>235</v>
      </c>
      <c r="J56" s="1" t="d">
        <v>2023-12-12</v>
      </c>
      <c r="K56" s="9" t="s">
        <v>20</v>
      </c>
      <c r="L56" s="5">
        <v>1146.93</v>
      </c>
      <c r="M56" s="1" t="d">
        <v>2024-02-23</v>
      </c>
      <c r="N56" s="6" t="s">
        <v>16</v>
      </c>
      <c r="O56" s="9" t="s">
        <v>236</v>
      </c>
    </row>
    <row r="57" spans="1:15" ht="48" x14ac:dyDescent="0.15">
      <c r="A57" s="1" t="d">
        <v>2024-11-05</v>
      </c>
      <c r="B57" s="3" t="s">
        <v>237</v>
      </c>
      <c r="C57" s="3" t="s">
        <v>16</v>
      </c>
      <c r="D57" s="4" t="s">
        <v>17</v>
      </c>
      <c r="E57" s="4" t="s">
        <v>18</v>
      </c>
      <c r="F57" s="5">
        <v>7350.58</v>
      </c>
      <c r="G57" s="3" t="s">
        <v>238</v>
      </c>
      <c r="H57" s="3" t="s">
        <v>239</v>
      </c>
      <c r="I57" s="4" t="s">
        <v>240</v>
      </c>
      <c r="J57" s="1" t="d">
        <v>2024-11-05</v>
      </c>
      <c r="K57" s="9" t="s">
        <v>20</v>
      </c>
      <c r="L57" s="5">
        <v>1140.44</v>
      </c>
      <c r="M57" s="1" t="d">
        <v>2025-03-12</v>
      </c>
      <c r="N57" s="10">
        <v>437.4</v>
      </c>
      <c r="O57" s="9" t="s">
        <v>241</v>
      </c>
    </row>
    <row r="58" spans="1:15" ht="36" x14ac:dyDescent="0.15">
      <c r="A58" s="1" t="d">
        <v>2025-12-08</v>
      </c>
      <c r="B58" s="3" t="s">
        <v>242</v>
      </c>
      <c r="C58" s="3" t="s">
        <v>16</v>
      </c>
      <c r="D58" s="4" t="s">
        <v>17</v>
      </c>
      <c r="E58" s="4" t="s">
        <v>18</v>
      </c>
      <c r="F58" s="5">
        <v>12753.02</v>
      </c>
      <c r="G58" s="3" t="s">
        <v>243</v>
      </c>
      <c r="H58" s="3" t="s">
        <v>244</v>
      </c>
      <c r="I58" s="4" t="s">
        <v>245</v>
      </c>
      <c r="J58" s="1" t="d">
        <v>2025-12-08</v>
      </c>
      <c r="K58" s="9" t="s">
        <v>20</v>
      </c>
      <c r="L58" s="5">
        <v>1113.1500000000001</v>
      </c>
      <c r="M58" s="1" t="d">
        <v>2026-03-17</v>
      </c>
      <c r="N58" s="10">
        <v>-338</v>
      </c>
      <c r="O58" s="9" t="s">
        <v>40</v>
      </c>
    </row>
    <row r="59" spans="1:15" ht="36" x14ac:dyDescent="0.15">
      <c r="A59" s="1" t="d">
        <v>2024-05-13</v>
      </c>
      <c r="B59" s="3" t="s">
        <v>246</v>
      </c>
      <c r="C59" s="3" t="s">
        <v>16</v>
      </c>
      <c r="D59" s="4" t="s">
        <v>17</v>
      </c>
      <c r="E59" s="4" t="s">
        <v>18</v>
      </c>
      <c r="F59" s="5">
        <v>7628.31</v>
      </c>
      <c r="G59" s="3" t="s">
        <v>247</v>
      </c>
      <c r="H59" s="3" t="s">
        <v>248</v>
      </c>
      <c r="I59" s="4" t="s">
        <v>249</v>
      </c>
      <c r="J59" s="1" t="d">
        <v>2024-05-13</v>
      </c>
      <c r="K59" s="9" t="s">
        <v>20</v>
      </c>
      <c r="L59" s="5">
        <v>1105.7</v>
      </c>
      <c r="M59" s="1" t="d">
        <v>2024-10-17</v>
      </c>
      <c r="N59" s="6" t="s">
        <v>16</v>
      </c>
      <c r="O59" s="9" t="s">
        <v>250</v>
      </c>
    </row>
    <row r="60" spans="1:15" ht="24" x14ac:dyDescent="0.15">
      <c r="A60" s="1" t="d">
        <v>2023-04-21</v>
      </c>
      <c r="B60" s="3" t="s">
        <v>251</v>
      </c>
      <c r="C60" s="3" t="s">
        <v>16</v>
      </c>
      <c r="D60" s="4" t="s">
        <v>17</v>
      </c>
      <c r="E60" s="4" t="s">
        <v>18</v>
      </c>
      <c r="F60" s="5">
        <v>2819.49</v>
      </c>
      <c r="G60" s="3" t="s">
        <v>252</v>
      </c>
      <c r="H60" s="3" t="s">
        <v>253</v>
      </c>
      <c r="I60" s="4" t="s">
        <v>254</v>
      </c>
      <c r="J60" s="1" t="d">
        <v>2023-04-21</v>
      </c>
      <c r="K60" s="9" t="s">
        <v>20</v>
      </c>
      <c r="L60" s="5">
        <v>1074.5</v>
      </c>
      <c r="M60" s="1" t="d">
        <v>2023-09-28</v>
      </c>
      <c r="N60" s="6" t="s">
        <v>16</v>
      </c>
      <c r="O60" s="9" t="s">
        <v>255</v>
      </c>
    </row>
    <row r="61" spans="1:15" ht="48" x14ac:dyDescent="0.15">
      <c r="A61" s="1" t="d">
        <v>2023-12-18</v>
      </c>
      <c r="B61" s="3" t="s">
        <v>251</v>
      </c>
      <c r="C61" s="3" t="s">
        <v>16</v>
      </c>
      <c r="D61" s="4" t="s">
        <v>17</v>
      </c>
      <c r="E61" s="4" t="s">
        <v>18</v>
      </c>
      <c r="F61" s="5">
        <v>172.56</v>
      </c>
      <c r="G61" s="3" t="s">
        <v>252</v>
      </c>
      <c r="H61" s="3" t="s">
        <v>16</v>
      </c>
      <c r="I61" s="4" t="s">
        <v>256</v>
      </c>
      <c r="J61" s="1" t="d">
        <v>2023-12-18</v>
      </c>
      <c r="K61" s="9" t="s">
        <v>20</v>
      </c>
      <c r="L61" s="5">
        <v>1049.43</v>
      </c>
      <c r="M61" s="1" t="d">
        <v>2024-02-23</v>
      </c>
      <c r="N61" s="6" t="s">
        <v>16</v>
      </c>
      <c r="O61" s="9" t="s">
        <v>257</v>
      </c>
    </row>
    <row r="62" spans="1:15" ht="24" x14ac:dyDescent="0.15">
      <c r="A62" s="1" t="d">
        <v>2023-10-23</v>
      </c>
      <c r="B62" s="3" t="s">
        <v>251</v>
      </c>
      <c r="C62" s="3" t="s">
        <v>16</v>
      </c>
      <c r="D62" s="4" t="s">
        <v>17</v>
      </c>
      <c r="E62" s="4" t="s">
        <v>18</v>
      </c>
      <c r="F62" s="6" t="s">
        <v>16</v>
      </c>
      <c r="G62" s="3" t="s">
        <v>258</v>
      </c>
      <c r="H62" s="3" t="s">
        <v>16</v>
      </c>
      <c r="I62" s="4" t="s">
        <v>259</v>
      </c>
      <c r="J62" s="1" t="d">
        <v>2023-10-23</v>
      </c>
      <c r="K62" s="9" t="s">
        <v>20</v>
      </c>
      <c r="L62" s="5">
        <v>1049.43</v>
      </c>
      <c r="M62" s="1" t="d">
        <v>2023-10-23</v>
      </c>
      <c r="N62" s="6" t="s">
        <v>16</v>
      </c>
      <c r="O62" s="9" t="s">
        <v>260</v>
      </c>
    </row>
    <row r="63" spans="1:15" ht="36" x14ac:dyDescent="0.15">
      <c r="A63" s="1" t="d">
        <v>2024-09-24</v>
      </c>
      <c r="B63" s="3" t="s">
        <v>261</v>
      </c>
      <c r="C63" s="3" t="s">
        <v>16</v>
      </c>
      <c r="D63" s="4" t="s">
        <v>17</v>
      </c>
      <c r="E63" s="4" t="s">
        <v>18</v>
      </c>
      <c r="F63" s="5">
        <v>7989.56</v>
      </c>
      <c r="G63" s="3" t="s">
        <v>262</v>
      </c>
      <c r="H63" s="3" t="s">
        <v>263</v>
      </c>
      <c r="I63" s="4" t="s">
        <v>264</v>
      </c>
      <c r="J63" s="1" t="d">
        <v>2024-09-24</v>
      </c>
      <c r="K63" s="9" t="s">
        <v>20</v>
      </c>
      <c r="L63" s="5">
        <v>1042.26</v>
      </c>
      <c r="M63" s="1" t="d">
        <v>2025-01-22</v>
      </c>
      <c r="N63" s="10">
        <v>-22.2</v>
      </c>
      <c r="O63" s="9" t="s">
        <v>265</v>
      </c>
    </row>
    <row r="64" spans="1:15" ht="24" x14ac:dyDescent="0.15">
      <c r="A64" s="1" t="d">
        <v>2024-08-05</v>
      </c>
      <c r="B64" s="3" t="s">
        <v>266</v>
      </c>
      <c r="C64" s="3" t="s">
        <v>16</v>
      </c>
      <c r="D64" s="4" t="s">
        <v>17</v>
      </c>
      <c r="E64" s="4" t="s">
        <v>18</v>
      </c>
      <c r="F64" s="5">
        <v>642.04</v>
      </c>
      <c r="G64" s="3" t="s">
        <v>267</v>
      </c>
      <c r="H64" s="3" t="s">
        <v>268</v>
      </c>
      <c r="I64" s="4" t="s">
        <v>269</v>
      </c>
      <c r="J64" s="1" t="d">
        <v>2024-08-05</v>
      </c>
      <c r="K64" s="9" t="s">
        <v>20</v>
      </c>
      <c r="L64" s="5">
        <v>1032.81</v>
      </c>
      <c r="M64" s="1" t="d">
        <v>2024-11-13</v>
      </c>
      <c r="N64" s="6" t="s">
        <v>16</v>
      </c>
      <c r="O64" s="9" t="s">
        <v>270</v>
      </c>
    </row>
    <row r="65" spans="1:15" ht="12" x14ac:dyDescent="0.15">
      <c r="A65" s="1" t="d">
        <v>2024-01-16</v>
      </c>
      <c r="B65" s="3" t="s">
        <v>271</v>
      </c>
      <c r="C65" s="3" t="s">
        <v>272</v>
      </c>
      <c r="D65" s="4" t="s">
        <v>17</v>
      </c>
      <c r="E65" s="4" t="s">
        <v>18</v>
      </c>
      <c r="F65" s="5">
        <v>188.18</v>
      </c>
      <c r="G65" s="3" t="s">
        <v>273</v>
      </c>
      <c r="H65" s="3" t="s">
        <v>274</v>
      </c>
      <c r="I65" s="4" t="s">
        <v>275</v>
      </c>
      <c r="J65" s="1" t="d">
        <v>2024-01-16</v>
      </c>
      <c r="K65" s="9" t="s">
        <v>20</v>
      </c>
      <c r="L65" s="5">
        <v>1015.65</v>
      </c>
      <c r="M65" s="1" t="d">
        <v>2024-11-08</v>
      </c>
      <c r="N65" s="10">
        <v>-13.6</v>
      </c>
      <c r="O65" s="9" t="s">
        <v>50</v>
      </c>
    </row>
    <row r="66" spans="1:15" ht="24" x14ac:dyDescent="0.15">
      <c r="A66" s="1" t="d">
        <v>2024-07-24</v>
      </c>
      <c r="B66" s="3" t="s">
        <v>276</v>
      </c>
      <c r="C66" s="3" t="s">
        <v>16</v>
      </c>
      <c r="D66" s="4" t="s">
        <v>17</v>
      </c>
      <c r="E66" s="4" t="s">
        <v>18</v>
      </c>
      <c r="F66" s="6" t="s">
        <v>16</v>
      </c>
      <c r="G66" s="3" t="s">
        <v>277</v>
      </c>
      <c r="H66" s="3" t="s">
        <v>16</v>
      </c>
      <c r="I66" s="4" t="s">
        <v>278</v>
      </c>
      <c r="J66" s="1" t="d">
        <v>2024-07-24</v>
      </c>
      <c r="K66" s="9" t="s">
        <v>20</v>
      </c>
      <c r="L66" s="5">
        <v>970.37</v>
      </c>
      <c r="M66" s="1" t="d">
        <v>2025-02-27</v>
      </c>
      <c r="N66" s="6" t="s">
        <v>16</v>
      </c>
      <c r="O66" s="9" t="s">
        <v>279</v>
      </c>
    </row>
    <row r="67" spans="1:15" ht="48" x14ac:dyDescent="0.15">
      <c r="A67" s="1" t="d">
        <v>2021-10-14</v>
      </c>
      <c r="B67" s="3" t="s">
        <v>280</v>
      </c>
      <c r="C67" s="3" t="s">
        <v>16</v>
      </c>
      <c r="D67" s="4" t="s">
        <v>17</v>
      </c>
      <c r="E67" s="4" t="s">
        <v>18</v>
      </c>
      <c r="F67" s="5">
        <v>336.88</v>
      </c>
      <c r="G67" s="3" t="s">
        <v>281</v>
      </c>
      <c r="H67" s="3" t="s">
        <v>16</v>
      </c>
      <c r="I67" s="4" t="s">
        <v>282</v>
      </c>
      <c r="J67" s="1" t="d">
        <v>2021-10-14</v>
      </c>
      <c r="K67" s="9" t="s">
        <v>20</v>
      </c>
      <c r="L67" s="5">
        <v>952.34</v>
      </c>
      <c r="M67" s="1" t="d">
        <v>2021-12-22</v>
      </c>
      <c r="N67" s="6" t="s">
        <v>16</v>
      </c>
      <c r="O67" s="9" t="s">
        <v>241</v>
      </c>
    </row>
    <row r="68" spans="1:15" ht="36" x14ac:dyDescent="0.15">
      <c r="A68" s="1" t="d">
        <v>2023-07-31</v>
      </c>
      <c r="B68" s="3" t="s">
        <v>283</v>
      </c>
      <c r="C68" s="3" t="s">
        <v>16</v>
      </c>
      <c r="D68" s="4" t="s">
        <v>17</v>
      </c>
      <c r="E68" s="4" t="s">
        <v>18</v>
      </c>
      <c r="F68" s="5">
        <v>7054.24</v>
      </c>
      <c r="G68" s="3" t="s">
        <v>284</v>
      </c>
      <c r="H68" s="3" t="s">
        <v>285</v>
      </c>
      <c r="I68" s="4" t="s">
        <v>286</v>
      </c>
      <c r="J68" s="1" t="d">
        <v>2023-07-31</v>
      </c>
      <c r="K68" s="9" t="s">
        <v>20</v>
      </c>
      <c r="L68" s="5">
        <v>951.8</v>
      </c>
      <c r="M68" s="1" t="d">
        <v>2023-11-08</v>
      </c>
      <c r="N68" s="6" t="s">
        <v>16</v>
      </c>
      <c r="O68" s="9" t="s">
        <v>287</v>
      </c>
    </row>
    <row r="69" spans="1:15" ht="24" x14ac:dyDescent="0.15">
      <c r="A69" s="1" t="d">
        <v>2023-12-18</v>
      </c>
      <c r="B69" s="3" t="s">
        <v>288</v>
      </c>
      <c r="C69" s="3" t="s">
        <v>16</v>
      </c>
      <c r="D69" s="4" t="s">
        <v>17</v>
      </c>
      <c r="E69" s="4" t="s">
        <v>18</v>
      </c>
      <c r="F69" s="5">
        <v>5027.93</v>
      </c>
      <c r="G69" s="3" t="s">
        <v>289</v>
      </c>
      <c r="H69" s="3" t="s">
        <v>108</v>
      </c>
      <c r="I69" s="4" t="s">
        <v>290</v>
      </c>
      <c r="J69" s="1" t="d">
        <v>2023-12-18</v>
      </c>
      <c r="K69" s="9" t="s">
        <v>20</v>
      </c>
      <c r="L69" s="5">
        <v>920.35</v>
      </c>
      <c r="M69" s="1" t="d">
        <v>2024-03-19</v>
      </c>
      <c r="N69" s="6" t="s">
        <v>16</v>
      </c>
      <c r="O69" s="9" t="s">
        <v>93</v>
      </c>
    </row>
    <row r="70" spans="1:15" ht="36" x14ac:dyDescent="0.15">
      <c r="A70" s="1" t="d">
        <v>2021-12-31</v>
      </c>
      <c r="B70" s="3" t="s">
        <v>291</v>
      </c>
      <c r="C70" s="3" t="s">
        <v>16</v>
      </c>
      <c r="D70" s="4" t="s">
        <v>17</v>
      </c>
      <c r="E70" s="4" t="s">
        <v>18</v>
      </c>
      <c r="F70" s="5">
        <v>880.47</v>
      </c>
      <c r="G70" s="3" t="s">
        <v>292</v>
      </c>
      <c r="H70" s="3" t="s">
        <v>16</v>
      </c>
      <c r="I70" s="4" t="s">
        <v>293</v>
      </c>
      <c r="J70" s="1" t="d">
        <v>2021-12-31</v>
      </c>
      <c r="K70" s="9" t="s">
        <v>20</v>
      </c>
      <c r="L70" s="5">
        <v>909.81</v>
      </c>
      <c r="M70" s="1" t="d">
        <v>2022-07-04</v>
      </c>
      <c r="N70" s="6" t="s">
        <v>16</v>
      </c>
      <c r="O70" s="9" t="s">
        <v>294</v>
      </c>
    </row>
    <row r="71" spans="1:15" ht="24" x14ac:dyDescent="0.15">
      <c r="A71" s="1" t="d">
        <v>2024-02-27</v>
      </c>
      <c r="B71" s="3" t="s">
        <v>295</v>
      </c>
      <c r="C71" s="3" t="s">
        <v>16</v>
      </c>
      <c r="D71" s="4" t="s">
        <v>17</v>
      </c>
      <c r="E71" s="4" t="s">
        <v>18</v>
      </c>
      <c r="F71" s="5">
        <v>2877.57</v>
      </c>
      <c r="G71" s="3" t="s">
        <v>296</v>
      </c>
      <c r="H71" s="3" t="s">
        <v>297</v>
      </c>
      <c r="I71" s="4" t="s">
        <v>298</v>
      </c>
      <c r="J71" s="1" t="d">
        <v>2024-02-27</v>
      </c>
      <c r="K71" s="9" t="s">
        <v>20</v>
      </c>
      <c r="L71" s="5">
        <v>906.54</v>
      </c>
      <c r="M71" s="1" t="d">
        <v>2024-10-02</v>
      </c>
      <c r="N71" s="6" t="s">
        <v>16</v>
      </c>
      <c r="O71" s="9" t="s">
        <v>299</v>
      </c>
    </row>
    <row r="72" spans="1:15" ht="24" x14ac:dyDescent="0.15">
      <c r="A72" s="1" t="d">
        <v>2025-08-25</v>
      </c>
      <c r="B72" s="3" t="s">
        <v>300</v>
      </c>
      <c r="C72" s="3" t="s">
        <v>301</v>
      </c>
      <c r="D72" s="4" t="s">
        <v>17</v>
      </c>
      <c r="E72" s="4" t="s">
        <v>18</v>
      </c>
      <c r="F72" s="5">
        <v>2233.83</v>
      </c>
      <c r="G72" s="3" t="s">
        <v>302</v>
      </c>
      <c r="H72" s="3" t="s">
        <v>303</v>
      </c>
      <c r="I72" s="4" t="s">
        <v>304</v>
      </c>
      <c r="J72" s="1" t="d">
        <v>2025-08-25</v>
      </c>
      <c r="K72" s="9" t="s">
        <v>20</v>
      </c>
      <c r="L72" s="5">
        <v>893.84</v>
      </c>
      <c r="M72" s="1" t="d">
        <v>2025-11-26</v>
      </c>
      <c r="N72" s="6" t="s">
        <v>16</v>
      </c>
      <c r="O72" s="9" t="s">
        <v>40</v>
      </c>
    </row>
    <row r="73" spans="1:15" ht="24" x14ac:dyDescent="0.15">
      <c r="A73" s="1" t="d">
        <v>2024-07-08</v>
      </c>
      <c r="B73" s="3" t="s">
        <v>305</v>
      </c>
      <c r="C73" s="3" t="s">
        <v>16</v>
      </c>
      <c r="D73" s="4" t="s">
        <v>17</v>
      </c>
      <c r="E73" s="4" t="s">
        <v>18</v>
      </c>
      <c r="F73" s="6" t="s">
        <v>16</v>
      </c>
      <c r="G73" s="3" t="s">
        <v>306</v>
      </c>
      <c r="H73" s="3" t="s">
        <v>307</v>
      </c>
      <c r="I73" s="4" t="s">
        <v>308</v>
      </c>
      <c r="J73" s="1" t="d">
        <v>2024-07-08</v>
      </c>
      <c r="K73" s="9" t="s">
        <v>20</v>
      </c>
      <c r="L73" s="5">
        <v>874.25</v>
      </c>
      <c r="M73" s="1" t="d">
        <v>2024-09-06</v>
      </c>
      <c r="N73" s="10">
        <v>390.5</v>
      </c>
      <c r="O73" s="9" t="s">
        <v>260</v>
      </c>
    </row>
    <row r="74" spans="1:15" ht="24" x14ac:dyDescent="0.15">
      <c r="A74" s="1" t="d">
        <v>2024-07-03</v>
      </c>
      <c r="B74" s="3" t="s">
        <v>309</v>
      </c>
      <c r="C74" s="3" t="s">
        <v>16</v>
      </c>
      <c r="D74" s="4" t="s">
        <v>17</v>
      </c>
      <c r="E74" s="4" t="s">
        <v>18</v>
      </c>
      <c r="F74" s="5">
        <v>2959.77</v>
      </c>
      <c r="G74" s="3" t="s">
        <v>310</v>
      </c>
      <c r="H74" s="3" t="s">
        <v>311</v>
      </c>
      <c r="I74" s="4" t="s">
        <v>312</v>
      </c>
      <c r="J74" s="1" t="d">
        <v>2024-07-03</v>
      </c>
      <c r="K74" s="9" t="s">
        <v>20</v>
      </c>
      <c r="L74" s="5">
        <v>863.38</v>
      </c>
      <c r="M74" s="1" t="d">
        <v>2024-10-23</v>
      </c>
      <c r="N74" s="6" t="s">
        <v>16</v>
      </c>
      <c r="O74" s="9" t="s">
        <v>313</v>
      </c>
    </row>
    <row r="75" spans="1:15" ht="24" x14ac:dyDescent="0.15">
      <c r="A75" s="1" t="d">
        <v>2022-12-12</v>
      </c>
      <c r="B75" s="3" t="s">
        <v>314</v>
      </c>
      <c r="C75" s="3" t="s">
        <v>16</v>
      </c>
      <c r="D75" s="4" t="s">
        <v>17</v>
      </c>
      <c r="E75" s="4" t="s">
        <v>18</v>
      </c>
      <c r="F75" s="5">
        <v>9053.7199999999993</v>
      </c>
      <c r="G75" s="3" t="s">
        <v>315</v>
      </c>
      <c r="H75" s="3" t="s">
        <v>316</v>
      </c>
      <c r="I75" s="4" t="s">
        <v>317</v>
      </c>
      <c r="J75" s="1" t="d">
        <v>2022-12-12</v>
      </c>
      <c r="K75" s="9" t="s">
        <v>20</v>
      </c>
      <c r="L75" s="5">
        <v>818.11</v>
      </c>
      <c r="M75" s="1" t="d">
        <v>2023-02-28</v>
      </c>
      <c r="N75" s="6" t="s">
        <v>16</v>
      </c>
      <c r="O75" s="9" t="s">
        <v>299</v>
      </c>
    </row>
    <row r="76" spans="1:15" ht="12" x14ac:dyDescent="0.15">
      <c r="A76" s="1" t="d">
        <v>2021-09-13</v>
      </c>
      <c r="B76" s="3" t="s">
        <v>318</v>
      </c>
      <c r="C76" s="3" t="s">
        <v>16</v>
      </c>
      <c r="D76" s="4" t="s">
        <v>17</v>
      </c>
      <c r="E76" s="4" t="s">
        <v>18</v>
      </c>
      <c r="F76" s="5">
        <v>11761.32</v>
      </c>
      <c r="G76" s="3" t="s">
        <v>319</v>
      </c>
      <c r="H76" s="3" t="s">
        <v>320</v>
      </c>
      <c r="I76" s="4" t="s">
        <v>321</v>
      </c>
      <c r="J76" s="1" t="d">
        <v>2021-09-13</v>
      </c>
      <c r="K76" s="9" t="s">
        <v>20</v>
      </c>
      <c r="L76" s="5">
        <v>800</v>
      </c>
      <c r="M76" s="1" t="d">
        <v>2021-11-01</v>
      </c>
      <c r="N76" s="6" t="s">
        <v>16</v>
      </c>
      <c r="O76" s="9" t="s">
        <v>110</v>
      </c>
    </row>
    <row r="77" spans="1:15" ht="24" x14ac:dyDescent="0.15">
      <c r="A77" s="1" t="d">
        <v>2025-02-07</v>
      </c>
      <c r="B77" s="3" t="s">
        <v>322</v>
      </c>
      <c r="C77" s="3" t="s">
        <v>16</v>
      </c>
      <c r="D77" s="4" t="s">
        <v>17</v>
      </c>
      <c r="E77" s="4" t="s">
        <v>18</v>
      </c>
      <c r="F77" s="5">
        <v>4678.82</v>
      </c>
      <c r="G77" s="3" t="s">
        <v>323</v>
      </c>
      <c r="H77" s="3" t="s">
        <v>324</v>
      </c>
      <c r="I77" s="4" t="s">
        <v>325</v>
      </c>
      <c r="J77" s="1" t="d">
        <v>2025-02-07</v>
      </c>
      <c r="K77" s="9" t="s">
        <v>20</v>
      </c>
      <c r="L77" s="5">
        <v>796.9</v>
      </c>
      <c r="M77" s="1" t="d">
        <v>2025-04-16</v>
      </c>
      <c r="N77" s="10">
        <v>273.5</v>
      </c>
      <c r="O77" s="9" t="s">
        <v>93</v>
      </c>
    </row>
    <row r="78" spans="1:15" ht="24" x14ac:dyDescent="0.15">
      <c r="A78" s="1" t="d">
        <v>2022-08-08</v>
      </c>
      <c r="B78" s="3" t="s">
        <v>326</v>
      </c>
      <c r="C78" s="3" t="s">
        <v>16</v>
      </c>
      <c r="D78" s="4" t="s">
        <v>17</v>
      </c>
      <c r="E78" s="4" t="s">
        <v>18</v>
      </c>
      <c r="F78" s="5">
        <v>9831.35</v>
      </c>
      <c r="G78" s="3" t="s">
        <v>327</v>
      </c>
      <c r="H78" s="3" t="s">
        <v>328</v>
      </c>
      <c r="I78" s="4" t="s">
        <v>329</v>
      </c>
      <c r="J78" s="1" t="d">
        <v>2022-08-08</v>
      </c>
      <c r="K78" s="9" t="s">
        <v>20</v>
      </c>
      <c r="L78" s="5">
        <v>789.43</v>
      </c>
      <c r="M78" s="1" t="d">
        <v>2022-10-19</v>
      </c>
      <c r="N78" s="6" t="s">
        <v>16</v>
      </c>
      <c r="O78" s="9" t="s">
        <v>93</v>
      </c>
    </row>
    <row r="79" spans="1:15" ht="24" x14ac:dyDescent="0.15">
      <c r="A79" s="1" t="d">
        <v>2025-10-21</v>
      </c>
      <c r="B79" s="3" t="s">
        <v>330</v>
      </c>
      <c r="C79" s="3" t="s">
        <v>16</v>
      </c>
      <c r="D79" s="4" t="s">
        <v>17</v>
      </c>
      <c r="E79" s="4" t="s">
        <v>18</v>
      </c>
      <c r="F79" s="5">
        <v>296.88</v>
      </c>
      <c r="G79" s="3" t="s">
        <v>331</v>
      </c>
      <c r="H79" s="3" t="s">
        <v>332</v>
      </c>
      <c r="I79" s="4" t="s">
        <v>333</v>
      </c>
      <c r="J79" s="1" t="d">
        <v>2025-10-21</v>
      </c>
      <c r="K79" s="9" t="s">
        <v>20</v>
      </c>
      <c r="L79" s="5">
        <v>783.55</v>
      </c>
      <c r="M79" s="1" t="d">
        <v>2026-03-05</v>
      </c>
      <c r="N79" s="10">
        <v>52.5</v>
      </c>
      <c r="O79" s="9" t="s">
        <v>334</v>
      </c>
    </row>
    <row r="80" spans="1:15" ht="24" x14ac:dyDescent="0.15">
      <c r="A80" s="1" t="d">
        <v>2025-10-21</v>
      </c>
      <c r="B80" s="3" t="s">
        <v>330</v>
      </c>
      <c r="C80" s="3" t="s">
        <v>16</v>
      </c>
      <c r="D80" s="4" t="s">
        <v>17</v>
      </c>
      <c r="E80" s="4" t="s">
        <v>18</v>
      </c>
      <c r="F80" s="5">
        <v>139.57</v>
      </c>
      <c r="G80" s="3" t="s">
        <v>331</v>
      </c>
      <c r="H80" s="3" t="s">
        <v>16</v>
      </c>
      <c r="I80" s="4" t="s">
        <v>335</v>
      </c>
      <c r="J80" s="1" t="d">
        <v>2025-10-21</v>
      </c>
      <c r="K80" s="9" t="s">
        <v>20</v>
      </c>
      <c r="L80" s="5">
        <v>783.55</v>
      </c>
      <c r="M80" s="1" t="d">
        <v>2026-05-27</v>
      </c>
      <c r="N80" s="10">
        <v>52.5</v>
      </c>
      <c r="O80" s="9" t="s">
        <v>124</v>
      </c>
    </row>
    <row r="81" spans="1:15" ht="12" x14ac:dyDescent="0.15">
      <c r="A81" s="1" t="d">
        <v>2026-01-23</v>
      </c>
      <c r="B81" s="3" t="s">
        <v>336</v>
      </c>
      <c r="C81" s="3" t="s">
        <v>16</v>
      </c>
      <c r="D81" s="4" t="s">
        <v>17</v>
      </c>
      <c r="E81" s="4" t="s">
        <v>18</v>
      </c>
      <c r="F81" s="5">
        <v>275.74</v>
      </c>
      <c r="G81" s="3" t="s">
        <v>337</v>
      </c>
      <c r="H81" s="3" t="s">
        <v>338</v>
      </c>
      <c r="I81" s="4" t="s">
        <v>339</v>
      </c>
      <c r="J81" s="1" t="d">
        <v>2026-01-23</v>
      </c>
      <c r="K81" s="9" t="s">
        <v>20</v>
      </c>
      <c r="L81" s="5">
        <v>780</v>
      </c>
      <c r="M81" s="1" t="d">
        <v>2026-01-23</v>
      </c>
      <c r="N81" s="6" t="s">
        <v>16</v>
      </c>
      <c r="O81" s="9" t="s">
        <v>340</v>
      </c>
    </row>
    <row r="82" spans="1:15" ht="48" x14ac:dyDescent="0.15">
      <c r="A82" s="1" t="d">
        <v>2023-06-07</v>
      </c>
      <c r="B82" s="3" t="s">
        <v>341</v>
      </c>
      <c r="C82" s="3" t="s">
        <v>16</v>
      </c>
      <c r="D82" s="4" t="s">
        <v>17</v>
      </c>
      <c r="E82" s="4" t="s">
        <v>18</v>
      </c>
      <c r="F82" s="5">
        <v>4484.95</v>
      </c>
      <c r="G82" s="3" t="s">
        <v>342</v>
      </c>
      <c r="H82" s="3" t="s">
        <v>343</v>
      </c>
      <c r="I82" s="4" t="s">
        <v>344</v>
      </c>
      <c r="J82" s="1" t="d">
        <v>2023-06-07</v>
      </c>
      <c r="K82" s="9" t="s">
        <v>20</v>
      </c>
      <c r="L82" s="5">
        <v>770.83</v>
      </c>
      <c r="M82" s="1" t="d">
        <v>2023-12-18</v>
      </c>
      <c r="N82" s="6" t="s">
        <v>16</v>
      </c>
      <c r="O82" s="9" t="s">
        <v>345</v>
      </c>
    </row>
    <row r="83" spans="1:15" ht="12" x14ac:dyDescent="0.15">
      <c r="A83" s="1" t="d">
        <v>2026-05-13</v>
      </c>
      <c r="B83" s="3" t="s">
        <v>346</v>
      </c>
      <c r="C83" s="3" t="s">
        <v>347</v>
      </c>
      <c r="D83" s="4" t="s">
        <v>17</v>
      </c>
      <c r="E83" s="4" t="s">
        <v>18</v>
      </c>
      <c r="F83" s="5">
        <v>118.3</v>
      </c>
      <c r="G83" s="3" t="s">
        <v>16</v>
      </c>
      <c r="H83" s="3" t="s">
        <v>348</v>
      </c>
      <c r="I83" s="4" t="s">
        <v>349</v>
      </c>
      <c r="J83" s="1" t="d">
        <v>2026-05-13</v>
      </c>
      <c r="K83" s="9" t="s">
        <v>20</v>
      </c>
      <c r="L83" s="5">
        <v>763.63</v>
      </c>
      <c r="M83" s="1" t="d">
        <v>2026-05-13</v>
      </c>
      <c r="N83" s="10">
        <v>91.3</v>
      </c>
      <c r="O83" s="9" t="s">
        <v>50</v>
      </c>
    </row>
    <row r="84" spans="1:15" ht="24" x14ac:dyDescent="0.15">
      <c r="A84" s="1" t="d">
        <v>2024-05-28</v>
      </c>
      <c r="B84" s="3" t="s">
        <v>350</v>
      </c>
      <c r="C84" s="3" t="s">
        <v>16</v>
      </c>
      <c r="D84" s="4" t="s">
        <v>17</v>
      </c>
      <c r="E84" s="4" t="s">
        <v>18</v>
      </c>
      <c r="F84" s="5">
        <v>831.85</v>
      </c>
      <c r="G84" s="3" t="s">
        <v>351</v>
      </c>
      <c r="H84" s="3" t="s">
        <v>16</v>
      </c>
      <c r="I84" s="4" t="s">
        <v>352</v>
      </c>
      <c r="J84" s="1" t="d">
        <v>2024-05-28</v>
      </c>
      <c r="K84" s="9" t="s">
        <v>20</v>
      </c>
      <c r="L84" s="5">
        <v>735.63</v>
      </c>
      <c r="M84" s="1" t="d">
        <v>2024-08-30</v>
      </c>
      <c r="N84" s="6" t="s">
        <v>16</v>
      </c>
      <c r="O84" s="9" t="s">
        <v>353</v>
      </c>
    </row>
    <row r="85" spans="1:15" ht="12" x14ac:dyDescent="0.15">
      <c r="A85" s="1" t="d">
        <v>2021-10-11</v>
      </c>
      <c r="B85" s="3" t="s">
        <v>354</v>
      </c>
      <c r="C85" s="3" t="s">
        <v>16</v>
      </c>
      <c r="D85" s="4" t="s">
        <v>17</v>
      </c>
      <c r="E85" s="4" t="s">
        <v>18</v>
      </c>
      <c r="F85" s="5">
        <v>6339.12</v>
      </c>
      <c r="G85" s="3" t="s">
        <v>238</v>
      </c>
      <c r="H85" s="3" t="s">
        <v>16</v>
      </c>
      <c r="I85" s="4" t="s">
        <v>355</v>
      </c>
      <c r="J85" s="1" t="d">
        <v>2021-10-11</v>
      </c>
      <c r="K85" s="9" t="s">
        <v>20</v>
      </c>
      <c r="L85" s="5">
        <v>730.43</v>
      </c>
      <c r="M85" s="1" t="d">
        <v>2022-05-16</v>
      </c>
      <c r="N85" s="6" t="s">
        <v>16</v>
      </c>
      <c r="O85" s="9" t="s">
        <v>110</v>
      </c>
    </row>
    <row r="86" spans="1:15" ht="24" x14ac:dyDescent="0.15">
      <c r="A86" s="1" t="d">
        <v>2024-04-25</v>
      </c>
      <c r="B86" s="3" t="s">
        <v>356</v>
      </c>
      <c r="C86" s="3" t="s">
        <v>16</v>
      </c>
      <c r="D86" s="4" t="s">
        <v>17</v>
      </c>
      <c r="E86" s="4" t="s">
        <v>18</v>
      </c>
      <c r="F86" s="5">
        <v>2739.56</v>
      </c>
      <c r="G86" s="3" t="s">
        <v>357</v>
      </c>
      <c r="H86" s="3" t="s">
        <v>358</v>
      </c>
      <c r="I86" s="4" t="s">
        <v>359</v>
      </c>
      <c r="J86" s="1" t="d">
        <v>2024-04-25</v>
      </c>
      <c r="K86" s="9" t="s">
        <v>20</v>
      </c>
      <c r="L86" s="5">
        <v>728.47</v>
      </c>
      <c r="M86" s="1" t="d">
        <v>2024-09-05</v>
      </c>
      <c r="N86" s="6" t="s">
        <v>16</v>
      </c>
      <c r="O86" s="9" t="s">
        <v>93</v>
      </c>
    </row>
    <row r="87" spans="1:15" ht="24" x14ac:dyDescent="0.15">
      <c r="A87" s="1" t="d">
        <v>2022-01-17</v>
      </c>
      <c r="B87" s="3" t="s">
        <v>360</v>
      </c>
      <c r="C87" s="3" t="s">
        <v>16</v>
      </c>
      <c r="D87" s="4" t="s">
        <v>17</v>
      </c>
      <c r="E87" s="4" t="s">
        <v>18</v>
      </c>
      <c r="F87" s="5">
        <v>1083.73</v>
      </c>
      <c r="G87" s="3" t="s">
        <v>361</v>
      </c>
      <c r="H87" s="3" t="s">
        <v>362</v>
      </c>
      <c r="I87" s="4" t="s">
        <v>363</v>
      </c>
      <c r="J87" s="1" t="d">
        <v>2022-01-17</v>
      </c>
      <c r="K87" s="9" t="s">
        <v>20</v>
      </c>
      <c r="L87" s="5">
        <v>724.85</v>
      </c>
      <c r="M87" s="1" t="d">
        <v>2022-06-30</v>
      </c>
      <c r="N87" s="6" t="s">
        <v>16</v>
      </c>
      <c r="O87" s="9" t="s">
        <v>364</v>
      </c>
    </row>
    <row r="88" spans="1:15" ht="24" x14ac:dyDescent="0.15">
      <c r="A88" s="1" t="d">
        <v>2023-06-19</v>
      </c>
      <c r="B88" s="3" t="s">
        <v>365</v>
      </c>
      <c r="C88" s="3" t="s">
        <v>16</v>
      </c>
      <c r="D88" s="4" t="s">
        <v>17</v>
      </c>
      <c r="E88" s="4" t="s">
        <v>18</v>
      </c>
      <c r="F88" s="6" t="s">
        <v>16</v>
      </c>
      <c r="G88" s="3" t="s">
        <v>366</v>
      </c>
      <c r="H88" s="3" t="s">
        <v>16</v>
      </c>
      <c r="I88" s="4" t="s">
        <v>367</v>
      </c>
      <c r="J88" s="1" t="d">
        <v>2023-06-19</v>
      </c>
      <c r="K88" s="9" t="s">
        <v>20</v>
      </c>
      <c r="L88" s="5">
        <v>708.04</v>
      </c>
      <c r="M88" s="1" t="d">
        <v>2023-10-05</v>
      </c>
      <c r="N88" s="5">
        <v>-9.1</v>
      </c>
      <c r="O88" s="9" t="s">
        <v>368</v>
      </c>
    </row>
    <row r="89" spans="1:15" ht="12" x14ac:dyDescent="0.15">
      <c r="A89" s="1" t="d">
        <v>2022-06-21</v>
      </c>
      <c r="B89" s="3" t="s">
        <v>369</v>
      </c>
      <c r="C89" s="3" t="s">
        <v>370</v>
      </c>
      <c r="D89" s="4" t="s">
        <v>17</v>
      </c>
      <c r="E89" s="4" t="s">
        <v>18</v>
      </c>
      <c r="F89" s="5">
        <v>618.59</v>
      </c>
      <c r="G89" s="3" t="s">
        <v>371</v>
      </c>
      <c r="H89" s="3" t="s">
        <v>16</v>
      </c>
      <c r="I89" s="4" t="s">
        <v>372</v>
      </c>
      <c r="J89" s="1" t="d">
        <v>2022-06-21</v>
      </c>
      <c r="K89" s="9" t="s">
        <v>20</v>
      </c>
      <c r="L89" s="5">
        <v>701.06</v>
      </c>
      <c r="M89" s="1" t="d">
        <v>2022-06-21</v>
      </c>
      <c r="N89" s="10">
        <v>-29.4</v>
      </c>
      <c r="O89" s="9" t="s">
        <v>50</v>
      </c>
    </row>
    <row r="90" spans="1:15" ht="24" x14ac:dyDescent="0.15">
      <c r="A90" s="1" t="d">
        <v>2025-10-29</v>
      </c>
      <c r="B90" s="3" t="s">
        <v>373</v>
      </c>
      <c r="C90" s="3" t="s">
        <v>16</v>
      </c>
      <c r="D90" s="4" t="s">
        <v>17</v>
      </c>
      <c r="E90" s="4" t="s">
        <v>18</v>
      </c>
      <c r="F90" s="5">
        <v>2735.68</v>
      </c>
      <c r="G90" s="3" t="s">
        <v>374</v>
      </c>
      <c r="H90" s="3" t="s">
        <v>375</v>
      </c>
      <c r="I90" s="4" t="s">
        <v>376</v>
      </c>
      <c r="J90" s="1" t="d">
        <v>2025-10-29</v>
      </c>
      <c r="K90" s="9" t="s">
        <v>20</v>
      </c>
      <c r="L90" s="5">
        <v>690.59</v>
      </c>
      <c r="M90" s="1" t="d">
        <v>2026-01-30</v>
      </c>
      <c r="N90" s="10">
        <v>38.299999999999997</v>
      </c>
      <c r="O90" s="9" t="s">
        <v>93</v>
      </c>
    </row>
    <row r="91" spans="1:15" ht="12" x14ac:dyDescent="0.15">
      <c r="A91" s="1" t="d">
        <v>2026-04-13</v>
      </c>
      <c r="B91" s="3" t="s">
        <v>377</v>
      </c>
      <c r="C91" s="3" t="s">
        <v>16</v>
      </c>
      <c r="D91" s="4" t="s">
        <v>17</v>
      </c>
      <c r="E91" s="4" t="s">
        <v>18</v>
      </c>
      <c r="F91" s="5">
        <v>29.26</v>
      </c>
      <c r="G91" s="3" t="s">
        <v>378</v>
      </c>
      <c r="H91" s="3" t="s">
        <v>379</v>
      </c>
      <c r="I91" s="4" t="s">
        <v>380</v>
      </c>
      <c r="J91" s="1" t="d">
        <v>2026-04-13</v>
      </c>
      <c r="K91" s="9" t="s">
        <v>20</v>
      </c>
      <c r="L91" s="5">
        <v>684.83</v>
      </c>
      <c r="M91" s="1" t="d">
        <v>2026-04-13</v>
      </c>
      <c r="N91" s="6" t="s">
        <v>16</v>
      </c>
      <c r="O91" s="9" t="s">
        <v>381</v>
      </c>
    </row>
    <row r="92" spans="1:15" ht="12" x14ac:dyDescent="0.15">
      <c r="A92" s="1" t="d">
        <v>2025-09-11</v>
      </c>
      <c r="B92" s="3" t="s">
        <v>346</v>
      </c>
      <c r="C92" s="3" t="s">
        <v>347</v>
      </c>
      <c r="D92" s="4" t="s">
        <v>17</v>
      </c>
      <c r="E92" s="4" t="s">
        <v>18</v>
      </c>
      <c r="F92" s="5">
        <v>52.74</v>
      </c>
      <c r="G92" s="3" t="s">
        <v>16</v>
      </c>
      <c r="H92" s="3" t="s">
        <v>382</v>
      </c>
      <c r="I92" s="4" t="s">
        <v>383</v>
      </c>
      <c r="J92" s="1" t="d">
        <v>2025-09-11</v>
      </c>
      <c r="K92" s="9" t="s">
        <v>20</v>
      </c>
      <c r="L92" s="5">
        <v>683.55</v>
      </c>
      <c r="M92" s="1" t="d">
        <v>2025-09-11</v>
      </c>
      <c r="N92" s="10">
        <v>91.3</v>
      </c>
      <c r="O92" s="9" t="s">
        <v>50</v>
      </c>
    </row>
    <row r="93" spans="1:15" ht="24" x14ac:dyDescent="0.15">
      <c r="A93" s="1" t="d">
        <v>2023-08-17</v>
      </c>
      <c r="B93" s="3" t="s">
        <v>305</v>
      </c>
      <c r="C93" s="3" t="s">
        <v>16</v>
      </c>
      <c r="D93" s="4" t="s">
        <v>17</v>
      </c>
      <c r="E93" s="4" t="s">
        <v>18</v>
      </c>
      <c r="F93" s="6" t="s">
        <v>16</v>
      </c>
      <c r="G93" s="3" t="s">
        <v>384</v>
      </c>
      <c r="H93" s="3" t="s">
        <v>307</v>
      </c>
      <c r="I93" s="4" t="s">
        <v>385</v>
      </c>
      <c r="J93" s="1" t="d">
        <v>2023-08-17</v>
      </c>
      <c r="K93" s="9" t="s">
        <v>20</v>
      </c>
      <c r="L93" s="5">
        <v>676.57</v>
      </c>
      <c r="M93" s="1" t="d">
        <v>2024-03-31</v>
      </c>
      <c r="N93" s="10">
        <v>390.5</v>
      </c>
      <c r="O93" s="9" t="s">
        <v>119</v>
      </c>
    </row>
    <row r="94" spans="1:15" ht="36" x14ac:dyDescent="0.15">
      <c r="A94" s="1" t="d">
        <v>2023-08-17</v>
      </c>
      <c r="B94" s="3" t="s">
        <v>386</v>
      </c>
      <c r="C94" s="3" t="s">
        <v>16</v>
      </c>
      <c r="D94" s="4" t="s">
        <v>17</v>
      </c>
      <c r="E94" s="4" t="s">
        <v>18</v>
      </c>
      <c r="F94" s="5">
        <v>621.94000000000005</v>
      </c>
      <c r="G94" s="3" t="s">
        <v>386</v>
      </c>
      <c r="H94" s="3" t="s">
        <v>16</v>
      </c>
      <c r="I94" s="4" t="s">
        <v>387</v>
      </c>
      <c r="J94" s="1" t="d">
        <v>2023-08-17</v>
      </c>
      <c r="K94" s="9" t="s">
        <v>20</v>
      </c>
      <c r="L94" s="5">
        <v>672.92</v>
      </c>
      <c r="M94" s="1" t="d">
        <v>2023-11-13</v>
      </c>
      <c r="N94" s="6" t="s">
        <v>16</v>
      </c>
      <c r="O94" s="9" t="s">
        <v>388</v>
      </c>
    </row>
    <row r="95" spans="1:15" ht="12" x14ac:dyDescent="0.15">
      <c r="A95" s="1" t="d">
        <v>2022-07-13</v>
      </c>
      <c r="B95" s="3" t="s">
        <v>389</v>
      </c>
      <c r="C95" s="3" t="s">
        <v>16</v>
      </c>
      <c r="D95" s="4" t="s">
        <v>17</v>
      </c>
      <c r="E95" s="4" t="s">
        <v>18</v>
      </c>
      <c r="F95" s="5">
        <v>4740.32</v>
      </c>
      <c r="G95" s="3" t="s">
        <v>390</v>
      </c>
      <c r="H95" s="3" t="s">
        <v>391</v>
      </c>
      <c r="I95" s="4" t="s">
        <v>392</v>
      </c>
      <c r="J95" s="1" t="d">
        <v>2022-07-13</v>
      </c>
      <c r="K95" s="9" t="s">
        <v>20</v>
      </c>
      <c r="L95" s="5">
        <v>671.17</v>
      </c>
      <c r="M95" s="1" t="d">
        <v>2022-11-07</v>
      </c>
      <c r="N95" s="6" t="s">
        <v>16</v>
      </c>
      <c r="O95" s="9" t="s">
        <v>393</v>
      </c>
    </row>
    <row r="96" spans="1:15" ht="12" x14ac:dyDescent="0.15">
      <c r="A96" s="1" t="d">
        <v>2025-10-30</v>
      </c>
      <c r="B96" s="3" t="s">
        <v>394</v>
      </c>
      <c r="C96" s="3" t="s">
        <v>395</v>
      </c>
      <c r="D96" s="4" t="s">
        <v>17</v>
      </c>
      <c r="E96" s="4" t="s">
        <v>18</v>
      </c>
      <c r="F96" s="5">
        <v>31.22</v>
      </c>
      <c r="G96" s="3" t="s">
        <v>16</v>
      </c>
      <c r="H96" s="3" t="s">
        <v>396</v>
      </c>
      <c r="I96" s="4" t="s">
        <v>397</v>
      </c>
      <c r="J96" s="1" t="d">
        <v>2025-10-30</v>
      </c>
      <c r="K96" s="9" t="s">
        <v>20</v>
      </c>
      <c r="L96" s="5">
        <v>671.05</v>
      </c>
      <c r="M96" s="1" t="d">
        <v>2025-10-30</v>
      </c>
      <c r="N96" s="10">
        <v>946.5</v>
      </c>
      <c r="O96" s="9" t="s">
        <v>50</v>
      </c>
    </row>
    <row r="97" spans="1:15" ht="24" x14ac:dyDescent="0.15">
      <c r="A97" s="1" t="d">
        <v>2024-12-19</v>
      </c>
      <c r="B97" s="3" t="s">
        <v>398</v>
      </c>
      <c r="C97" s="3" t="s">
        <v>16</v>
      </c>
      <c r="D97" s="4" t="s">
        <v>17</v>
      </c>
      <c r="E97" s="4" t="s">
        <v>18</v>
      </c>
      <c r="F97" s="5">
        <v>1254.54</v>
      </c>
      <c r="G97" s="3" t="s">
        <v>399</v>
      </c>
      <c r="H97" s="3" t="s">
        <v>16</v>
      </c>
      <c r="I97" s="4" t="s">
        <v>400</v>
      </c>
      <c r="J97" s="1" t="d">
        <v>2024-12-19</v>
      </c>
      <c r="K97" s="9" t="s">
        <v>20</v>
      </c>
      <c r="L97" s="5">
        <v>662.29</v>
      </c>
      <c r="M97" s="1" t="d">
        <v>2025-07-02</v>
      </c>
      <c r="N97" s="10">
        <v>81.900000000000006</v>
      </c>
      <c r="O97" s="9" t="s">
        <v>401</v>
      </c>
    </row>
    <row r="98" spans="1:15" ht="48" x14ac:dyDescent="0.15">
      <c r="A98" s="1" t="d">
        <v>2024-04-26</v>
      </c>
      <c r="B98" s="3" t="s">
        <v>402</v>
      </c>
      <c r="C98" s="3" t="s">
        <v>16</v>
      </c>
      <c r="D98" s="4" t="s">
        <v>17</v>
      </c>
      <c r="E98" s="4" t="s">
        <v>18</v>
      </c>
      <c r="F98" s="5">
        <v>5591.6</v>
      </c>
      <c r="G98" s="3" t="s">
        <v>403</v>
      </c>
      <c r="H98" s="3" t="s">
        <v>404</v>
      </c>
      <c r="I98" s="4" t="s">
        <v>405</v>
      </c>
      <c r="J98" s="1" t="d">
        <v>2024-04-26</v>
      </c>
      <c r="K98" s="9" t="s">
        <v>20</v>
      </c>
      <c r="L98" s="5">
        <v>653.95000000000005</v>
      </c>
      <c r="M98" s="1" t="d">
        <v>2024-10-01</v>
      </c>
      <c r="N98" s="6" t="s">
        <v>16</v>
      </c>
      <c r="O98" s="9" t="s">
        <v>299</v>
      </c>
    </row>
    <row r="99" spans="1:15" ht="36" x14ac:dyDescent="0.15">
      <c r="A99" s="1" t="d">
        <v>2024-10-30</v>
      </c>
      <c r="B99" s="3" t="s">
        <v>406</v>
      </c>
      <c r="C99" s="3" t="s">
        <v>16</v>
      </c>
      <c r="D99" s="4" t="s">
        <v>17</v>
      </c>
      <c r="E99" s="4" t="s">
        <v>18</v>
      </c>
      <c r="F99" s="5">
        <v>10700.92</v>
      </c>
      <c r="G99" s="3" t="s">
        <v>407</v>
      </c>
      <c r="H99" s="3" t="s">
        <v>408</v>
      </c>
      <c r="I99" s="4" t="s">
        <v>409</v>
      </c>
      <c r="J99" s="1" t="d">
        <v>2024-10-30</v>
      </c>
      <c r="K99" s="9" t="s">
        <v>20</v>
      </c>
      <c r="L99" s="5">
        <v>644.66</v>
      </c>
      <c r="M99" s="1" t="d">
        <v>2025-03-26</v>
      </c>
      <c r="N99" s="10">
        <v>60.3</v>
      </c>
      <c r="O99" s="9" t="s">
        <v>40</v>
      </c>
    </row>
    <row r="100" spans="1:15" ht="12" x14ac:dyDescent="0.15">
      <c r="A100" s="1" t="d">
        <v>2022-04-11</v>
      </c>
      <c r="B100" s="3" t="s">
        <v>410</v>
      </c>
      <c r="C100" s="3" t="s">
        <v>16</v>
      </c>
      <c r="D100" s="4" t="s">
        <v>17</v>
      </c>
      <c r="E100" s="4" t="s">
        <v>18</v>
      </c>
      <c r="F100" s="5">
        <v>6219.6</v>
      </c>
      <c r="G100" s="3" t="s">
        <v>411</v>
      </c>
      <c r="H100" s="3" t="s">
        <v>327</v>
      </c>
      <c r="I100" s="4" t="s">
        <v>412</v>
      </c>
      <c r="J100" s="1" t="d">
        <v>2022-04-11</v>
      </c>
      <c r="K100" s="9" t="s">
        <v>20</v>
      </c>
      <c r="L100" s="5">
        <v>644.53</v>
      </c>
      <c r="M100" s="1" t="d">
        <v>2022-06-23</v>
      </c>
      <c r="N100" s="6" t="s">
        <v>16</v>
      </c>
      <c r="O100" s="9" t="s">
        <v>40</v>
      </c>
    </row>
    <row r="101" spans="1:15" ht="36" x14ac:dyDescent="0.15">
      <c r="A101" s="1" t="d">
        <v>2025-12-21</v>
      </c>
      <c r="B101" s="3" t="s">
        <v>413</v>
      </c>
      <c r="C101" s="3" t="s">
        <v>16</v>
      </c>
      <c r="D101" s="4" t="s">
        <v>17</v>
      </c>
      <c r="E101" s="4" t="s">
        <v>18</v>
      </c>
      <c r="F101" s="5">
        <v>8400</v>
      </c>
      <c r="G101" s="3" t="s">
        <v>414</v>
      </c>
      <c r="H101" s="3" t="s">
        <v>415</v>
      </c>
      <c r="I101" s="4" t="s">
        <v>416</v>
      </c>
      <c r="J101" s="1" t="d">
        <v>2025-12-21</v>
      </c>
      <c r="K101" s="9" t="s">
        <v>20</v>
      </c>
      <c r="L101" s="5">
        <v>640.38</v>
      </c>
      <c r="M101" s="1" t="d">
        <v>2026-06-25</v>
      </c>
      <c r="N101" s="10">
        <v>109.1</v>
      </c>
      <c r="O101" s="9" t="s">
        <v>417</v>
      </c>
    </row>
    <row r="102" spans="1:15" ht="12" x14ac:dyDescent="0.15">
      <c r="A102" s="1" t="d">
        <v>2023-05-19</v>
      </c>
      <c r="B102" s="3" t="s">
        <v>305</v>
      </c>
      <c r="C102" s="3" t="s">
        <v>16</v>
      </c>
      <c r="D102" s="4" t="s">
        <v>17</v>
      </c>
      <c r="E102" s="4" t="s">
        <v>18</v>
      </c>
      <c r="F102" s="5">
        <v>648.79</v>
      </c>
      <c r="G102" s="3" t="s">
        <v>252</v>
      </c>
      <c r="H102" s="3" t="s">
        <v>306</v>
      </c>
      <c r="I102" s="4" t="s">
        <v>418</v>
      </c>
      <c r="J102" s="1" t="d">
        <v>2023-05-19</v>
      </c>
      <c r="K102" s="9" t="s">
        <v>20</v>
      </c>
      <c r="L102" s="5">
        <v>640.16999999999996</v>
      </c>
      <c r="M102" s="1" t="d">
        <v>2024-03-31</v>
      </c>
      <c r="N102" s="10">
        <v>390.5</v>
      </c>
      <c r="O102" s="9" t="s">
        <v>61</v>
      </c>
    </row>
    <row r="103" spans="1:15" ht="24" x14ac:dyDescent="0.15">
      <c r="A103" s="1" t="d">
        <v>2021-11-15</v>
      </c>
      <c r="B103" s="3" t="s">
        <v>419</v>
      </c>
      <c r="C103" s="3" t="s">
        <v>16</v>
      </c>
      <c r="D103" s="4" t="s">
        <v>17</v>
      </c>
      <c r="E103" s="4" t="s">
        <v>18</v>
      </c>
      <c r="F103" s="5">
        <v>9505.76</v>
      </c>
      <c r="G103" s="3" t="s">
        <v>420</v>
      </c>
      <c r="H103" s="3" t="s">
        <v>16</v>
      </c>
      <c r="I103" s="4" t="s">
        <v>421</v>
      </c>
      <c r="J103" s="1" t="d">
        <v>2021-11-15</v>
      </c>
      <c r="K103" s="9" t="s">
        <v>20</v>
      </c>
      <c r="L103" s="5">
        <v>638.55999999999995</v>
      </c>
      <c r="M103" s="1" t="d">
        <v>2021-12-28</v>
      </c>
      <c r="N103" s="6" t="s">
        <v>16</v>
      </c>
      <c r="O103" s="9" t="s">
        <v>422</v>
      </c>
    </row>
    <row r="104" spans="1:15" ht="24" x14ac:dyDescent="0.15">
      <c r="A104" s="1" t="d">
        <v>2023-04-27</v>
      </c>
      <c r="B104" s="3" t="s">
        <v>423</v>
      </c>
      <c r="C104" s="3" t="s">
        <v>16</v>
      </c>
      <c r="D104" s="4" t="s">
        <v>17</v>
      </c>
      <c r="E104" s="4" t="s">
        <v>18</v>
      </c>
      <c r="F104" s="5">
        <v>4515.18</v>
      </c>
      <c r="G104" s="3" t="s">
        <v>424</v>
      </c>
      <c r="H104" s="3" t="s">
        <v>425</v>
      </c>
      <c r="I104" s="4" t="s">
        <v>426</v>
      </c>
      <c r="J104" s="1" t="d">
        <v>2023-04-27</v>
      </c>
      <c r="K104" s="9" t="s">
        <v>20</v>
      </c>
      <c r="L104" s="5">
        <v>632.96</v>
      </c>
      <c r="M104" s="1" t="d">
        <v>2023-09-19</v>
      </c>
      <c r="N104" s="6" t="s">
        <v>16</v>
      </c>
      <c r="O104" s="9" t="s">
        <v>427</v>
      </c>
    </row>
    <row r="105" spans="1:15" ht="60" x14ac:dyDescent="0.15">
      <c r="A105" s="1" t="d">
        <v>2022-03-20</v>
      </c>
      <c r="B105" s="3" t="s">
        <v>428</v>
      </c>
      <c r="C105" s="3" t="s">
        <v>16</v>
      </c>
      <c r="D105" s="4" t="s">
        <v>17</v>
      </c>
      <c r="E105" s="4" t="s">
        <v>18</v>
      </c>
      <c r="F105" s="5">
        <v>10384.81</v>
      </c>
      <c r="G105" s="3" t="s">
        <v>403</v>
      </c>
      <c r="H105" s="3" t="s">
        <v>429</v>
      </c>
      <c r="I105" s="4" t="s">
        <v>430</v>
      </c>
      <c r="J105" s="1" t="d">
        <v>2022-03-20</v>
      </c>
      <c r="K105" s="9" t="s">
        <v>20</v>
      </c>
      <c r="L105" s="5">
        <v>631.51</v>
      </c>
      <c r="M105" s="1" t="d">
        <v>2022-06-22</v>
      </c>
      <c r="N105" s="6" t="s">
        <v>16</v>
      </c>
      <c r="O105" s="9" t="s">
        <v>431</v>
      </c>
    </row>
    <row r="106" spans="1:15" ht="24" x14ac:dyDescent="0.15">
      <c r="A106" s="1" t="d">
        <v>2023-03-14</v>
      </c>
      <c r="B106" s="3" t="s">
        <v>432</v>
      </c>
      <c r="C106" s="3" t="s">
        <v>16</v>
      </c>
      <c r="D106" s="4" t="s">
        <v>17</v>
      </c>
      <c r="E106" s="4" t="s">
        <v>18</v>
      </c>
      <c r="F106" s="5">
        <v>4717.17</v>
      </c>
      <c r="G106" s="3" t="s">
        <v>433</v>
      </c>
      <c r="H106" s="3" t="s">
        <v>434</v>
      </c>
      <c r="I106" s="4" t="s">
        <v>435</v>
      </c>
      <c r="J106" s="1" t="d">
        <v>2023-03-14</v>
      </c>
      <c r="K106" s="9" t="s">
        <v>20</v>
      </c>
      <c r="L106" s="5">
        <v>630.55999999999995</v>
      </c>
      <c r="M106" s="1" t="d">
        <v>2023-06-15</v>
      </c>
      <c r="N106" s="6" t="s">
        <v>16</v>
      </c>
      <c r="O106" s="9" t="s">
        <v>202</v>
      </c>
    </row>
    <row r="107" spans="1:15" ht="24" x14ac:dyDescent="0.15">
      <c r="A107" s="1" t="d">
        <v>2022-05-11</v>
      </c>
      <c r="B107" s="3" t="s">
        <v>436</v>
      </c>
      <c r="C107" s="3" t="s">
        <v>16</v>
      </c>
      <c r="D107" s="4" t="s">
        <v>17</v>
      </c>
      <c r="E107" s="4" t="s">
        <v>18</v>
      </c>
      <c r="F107" s="5">
        <v>10606.55</v>
      </c>
      <c r="G107" s="3" t="s">
        <v>437</v>
      </c>
      <c r="H107" s="3" t="s">
        <v>438</v>
      </c>
      <c r="I107" s="4" t="s">
        <v>439</v>
      </c>
      <c r="J107" s="1" t="d">
        <v>2022-05-11</v>
      </c>
      <c r="K107" s="9" t="s">
        <v>20</v>
      </c>
      <c r="L107" s="5">
        <v>625.79</v>
      </c>
      <c r="M107" s="1" t="d">
        <v>2022-12-06</v>
      </c>
      <c r="N107" s="6" t="s">
        <v>16</v>
      </c>
      <c r="O107" s="9" t="s">
        <v>202</v>
      </c>
    </row>
    <row r="108" spans="1:15" ht="48" x14ac:dyDescent="0.15">
      <c r="A108" s="1" t="d">
        <v>2023-02-13</v>
      </c>
      <c r="B108" s="3" t="s">
        <v>440</v>
      </c>
      <c r="C108" s="3" t="s">
        <v>16</v>
      </c>
      <c r="D108" s="4" t="s">
        <v>17</v>
      </c>
      <c r="E108" s="4" t="s">
        <v>18</v>
      </c>
      <c r="F108" s="5">
        <v>722.04</v>
      </c>
      <c r="G108" s="3" t="s">
        <v>16</v>
      </c>
      <c r="H108" s="3" t="s">
        <v>16</v>
      </c>
      <c r="I108" s="4" t="s">
        <v>441</v>
      </c>
      <c r="J108" s="1" t="d">
        <v>2023-02-13</v>
      </c>
      <c r="K108" s="9" t="s">
        <v>20</v>
      </c>
      <c r="L108" s="5">
        <v>623.48</v>
      </c>
      <c r="M108" s="1" t="d">
        <v>2023-05-19</v>
      </c>
      <c r="N108" s="6" t="s">
        <v>16</v>
      </c>
      <c r="O108" s="9" t="s">
        <v>442</v>
      </c>
    </row>
    <row r="109" spans="1:15" ht="36" x14ac:dyDescent="0.15">
      <c r="A109" s="1" t="d">
        <v>2023-01-27</v>
      </c>
      <c r="B109" s="3" t="s">
        <v>443</v>
      </c>
      <c r="C109" s="3" t="s">
        <v>16</v>
      </c>
      <c r="D109" s="4" t="s">
        <v>17</v>
      </c>
      <c r="E109" s="4" t="s">
        <v>18</v>
      </c>
      <c r="F109" s="5">
        <v>575.82000000000005</v>
      </c>
      <c r="G109" s="3" t="s">
        <v>444</v>
      </c>
      <c r="H109" s="3" t="s">
        <v>16</v>
      </c>
      <c r="I109" s="4" t="s">
        <v>445</v>
      </c>
      <c r="J109" s="1" t="d">
        <v>2023-01-27</v>
      </c>
      <c r="K109" s="9" t="s">
        <v>20</v>
      </c>
      <c r="L109" s="5">
        <v>614.73</v>
      </c>
      <c r="M109" s="1" t="d">
        <v>2023-03-13</v>
      </c>
      <c r="N109" s="6" t="s">
        <v>16</v>
      </c>
      <c r="O109" s="9" t="s">
        <v>388</v>
      </c>
    </row>
    <row r="110" spans="1:15" ht="12" x14ac:dyDescent="0.15">
      <c r="A110" s="1" t="d">
        <v>2024-04-11</v>
      </c>
      <c r="B110" s="3" t="s">
        <v>398</v>
      </c>
      <c r="C110" s="3" t="s">
        <v>16</v>
      </c>
      <c r="D110" s="4" t="s">
        <v>17</v>
      </c>
      <c r="E110" s="4" t="s">
        <v>18</v>
      </c>
      <c r="F110" s="6" t="s">
        <v>16</v>
      </c>
      <c r="G110" s="3" t="s">
        <v>16</v>
      </c>
      <c r="H110" s="3" t="s">
        <v>331</v>
      </c>
      <c r="I110" s="4" t="s">
        <v>446</v>
      </c>
      <c r="J110" s="1" t="d">
        <v>2024-04-11</v>
      </c>
      <c r="K110" s="9" t="s">
        <v>20</v>
      </c>
      <c r="L110" s="5">
        <v>610.69000000000005</v>
      </c>
      <c r="M110" s="1" t="d">
        <v>2024-04-11</v>
      </c>
      <c r="N110" s="10">
        <v>81.900000000000006</v>
      </c>
      <c r="O110" s="9" t="s">
        <v>31</v>
      </c>
    </row>
    <row r="111" spans="1:15" ht="12" x14ac:dyDescent="0.15">
      <c r="A111" s="1" t="d">
        <v>2023-10-13</v>
      </c>
      <c r="B111" s="3" t="s">
        <v>447</v>
      </c>
      <c r="C111" s="3" t="s">
        <v>448</v>
      </c>
      <c r="D111" s="4" t="s">
        <v>17</v>
      </c>
      <c r="E111" s="4" t="s">
        <v>18</v>
      </c>
      <c r="F111" s="5">
        <v>193.78</v>
      </c>
      <c r="G111" s="3" t="s">
        <v>449</v>
      </c>
      <c r="H111" s="3" t="s">
        <v>450</v>
      </c>
      <c r="I111" s="4" t="s">
        <v>451</v>
      </c>
      <c r="J111" s="1" t="d">
        <v>2023-10-13</v>
      </c>
      <c r="K111" s="9" t="s">
        <v>20</v>
      </c>
      <c r="L111" s="5">
        <v>608.19000000000005</v>
      </c>
      <c r="M111" s="1" t="d">
        <v>2023-10-25</v>
      </c>
      <c r="N111" s="10">
        <v>87.6</v>
      </c>
      <c r="O111" s="9" t="s">
        <v>61</v>
      </c>
    </row>
    <row r="112" spans="1:15" ht="24" x14ac:dyDescent="0.15">
      <c r="A112" s="1" t="d">
        <v>2025-05-25</v>
      </c>
      <c r="B112" s="3" t="s">
        <v>452</v>
      </c>
      <c r="C112" s="3" t="s">
        <v>16</v>
      </c>
      <c r="D112" s="4" t="s">
        <v>17</v>
      </c>
      <c r="E112" s="4" t="s">
        <v>18</v>
      </c>
      <c r="F112" s="5">
        <v>2417.96</v>
      </c>
      <c r="G112" s="3" t="s">
        <v>453</v>
      </c>
      <c r="H112" s="3" t="s">
        <v>454</v>
      </c>
      <c r="I112" s="4" t="s">
        <v>455</v>
      </c>
      <c r="J112" s="1" t="d">
        <v>2025-05-25</v>
      </c>
      <c r="K112" s="9" t="s">
        <v>20</v>
      </c>
      <c r="L112" s="5">
        <v>607.69000000000005</v>
      </c>
      <c r="M112" s="1" t="d">
        <v>2025-08-04</v>
      </c>
      <c r="N112" s="6" t="s">
        <v>16</v>
      </c>
      <c r="O112" s="9" t="s">
        <v>101</v>
      </c>
    </row>
    <row r="113" spans="1:15" ht="24" x14ac:dyDescent="0.15">
      <c r="A113" s="1" t="d">
        <v>2026-01-06</v>
      </c>
      <c r="B113" s="3" t="s">
        <v>456</v>
      </c>
      <c r="C113" s="3" t="s">
        <v>16</v>
      </c>
      <c r="D113" s="4" t="s">
        <v>17</v>
      </c>
      <c r="E113" s="4" t="s">
        <v>18</v>
      </c>
      <c r="F113" s="5">
        <v>6490.65</v>
      </c>
      <c r="G113" s="3" t="s">
        <v>457</v>
      </c>
      <c r="H113" s="3" t="s">
        <v>458</v>
      </c>
      <c r="I113" s="4" t="s">
        <v>459</v>
      </c>
      <c r="J113" s="1" t="d">
        <v>2026-01-06</v>
      </c>
      <c r="K113" s="9" t="s">
        <v>20</v>
      </c>
      <c r="L113" s="5">
        <v>601.92999999999995</v>
      </c>
      <c r="M113" s="1" t="d">
        <v>2026-04-01</v>
      </c>
      <c r="N113" s="10">
        <v>-91.5</v>
      </c>
      <c r="O113" s="9" t="s">
        <v>460</v>
      </c>
    </row>
    <row r="114" spans="1:15" ht="24" x14ac:dyDescent="0.15">
      <c r="A114" s="1" t="d">
        <v>2024-07-25</v>
      </c>
      <c r="B114" s="3" t="s">
        <v>461</v>
      </c>
      <c r="C114" s="3" t="s">
        <v>16</v>
      </c>
      <c r="D114" s="4" t="s">
        <v>17</v>
      </c>
      <c r="E114" s="4" t="s">
        <v>18</v>
      </c>
      <c r="F114" s="5">
        <v>4864.43</v>
      </c>
      <c r="G114" s="3" t="s">
        <v>462</v>
      </c>
      <c r="H114" s="3" t="s">
        <v>403</v>
      </c>
      <c r="I114" s="4" t="s">
        <v>463</v>
      </c>
      <c r="J114" s="1" t="d">
        <v>2024-07-25</v>
      </c>
      <c r="K114" s="9" t="s">
        <v>20</v>
      </c>
      <c r="L114" s="5">
        <v>596.20000000000005</v>
      </c>
      <c r="M114" s="1" t="d">
        <v>2024-11-13</v>
      </c>
      <c r="N114" s="6" t="s">
        <v>16</v>
      </c>
      <c r="O114" s="9" t="s">
        <v>464</v>
      </c>
    </row>
    <row r="115" spans="1:15" ht="36" x14ac:dyDescent="0.15">
      <c r="A115" s="1" t="d">
        <v>2024-04-24</v>
      </c>
      <c r="B115" s="3" t="s">
        <v>465</v>
      </c>
      <c r="C115" s="3" t="s">
        <v>16</v>
      </c>
      <c r="D115" s="4" t="s">
        <v>17</v>
      </c>
      <c r="E115" s="4" t="s">
        <v>18</v>
      </c>
      <c r="F115" s="5">
        <v>7663.63</v>
      </c>
      <c r="G115" s="3" t="s">
        <v>243</v>
      </c>
      <c r="H115" s="3" t="s">
        <v>466</v>
      </c>
      <c r="I115" s="4" t="s">
        <v>467</v>
      </c>
      <c r="J115" s="1" t="d">
        <v>2024-04-24</v>
      </c>
      <c r="K115" s="9" t="s">
        <v>20</v>
      </c>
      <c r="L115" s="5">
        <v>583.14</v>
      </c>
      <c r="M115" s="1" t="d">
        <v>2025-02-27</v>
      </c>
      <c r="N115" s="6" t="s">
        <v>16</v>
      </c>
      <c r="O115" s="9" t="s">
        <v>110</v>
      </c>
    </row>
    <row r="116" spans="1:15" ht="24" x14ac:dyDescent="0.15">
      <c r="A116" s="1" t="d">
        <v>2024-08-06</v>
      </c>
      <c r="B116" s="3" t="s">
        <v>468</v>
      </c>
      <c r="C116" s="3" t="s">
        <v>16</v>
      </c>
      <c r="D116" s="4" t="s">
        <v>17</v>
      </c>
      <c r="E116" s="4" t="s">
        <v>18</v>
      </c>
      <c r="F116" s="5">
        <v>2550</v>
      </c>
      <c r="G116" s="3" t="s">
        <v>469</v>
      </c>
      <c r="H116" s="3" t="s">
        <v>470</v>
      </c>
      <c r="I116" s="4" t="s">
        <v>471</v>
      </c>
      <c r="J116" s="1" t="d">
        <v>2024-08-06</v>
      </c>
      <c r="K116" s="9" t="s">
        <v>20</v>
      </c>
      <c r="L116" s="5">
        <v>579</v>
      </c>
      <c r="M116" s="1" t="d">
        <v>2024-09-30</v>
      </c>
      <c r="N116" s="6" t="s">
        <v>16</v>
      </c>
      <c r="O116" s="9" t="s">
        <v>472</v>
      </c>
    </row>
    <row r="117" spans="1:15" ht="24" x14ac:dyDescent="0.15">
      <c r="A117" s="1" t="d">
        <v>2022-02-09</v>
      </c>
      <c r="B117" s="3" t="s">
        <v>473</v>
      </c>
      <c r="C117" s="3" t="s">
        <v>16</v>
      </c>
      <c r="D117" s="4" t="s">
        <v>17</v>
      </c>
      <c r="E117" s="4" t="s">
        <v>18</v>
      </c>
      <c r="F117" s="5">
        <v>1315.19</v>
      </c>
      <c r="G117" s="3" t="s">
        <v>474</v>
      </c>
      <c r="H117" s="3" t="s">
        <v>475</v>
      </c>
      <c r="I117" s="4" t="s">
        <v>476</v>
      </c>
      <c r="J117" s="1" t="d">
        <v>2022-02-09</v>
      </c>
      <c r="K117" s="9" t="s">
        <v>20</v>
      </c>
      <c r="L117" s="5">
        <v>571.82000000000005</v>
      </c>
      <c r="M117" s="1" t="d">
        <v>2022-07-01</v>
      </c>
      <c r="N117" s="6" t="s">
        <v>16</v>
      </c>
      <c r="O117" s="9" t="s">
        <v>381</v>
      </c>
    </row>
    <row r="118" spans="1:15" ht="12" x14ac:dyDescent="0.15">
      <c r="A118" s="1" t="d">
        <v>2024-07-06</v>
      </c>
      <c r="B118" s="3" t="s">
        <v>477</v>
      </c>
      <c r="C118" s="3" t="s">
        <v>478</v>
      </c>
      <c r="D118" s="4" t="s">
        <v>17</v>
      </c>
      <c r="E118" s="4" t="s">
        <v>18</v>
      </c>
      <c r="F118" s="5">
        <v>28.81</v>
      </c>
      <c r="G118" s="3" t="s">
        <v>479</v>
      </c>
      <c r="H118" s="3" t="s">
        <v>16</v>
      </c>
      <c r="I118" s="4" t="s">
        <v>480</v>
      </c>
      <c r="J118" s="1" t="d">
        <v>2024-07-06</v>
      </c>
      <c r="K118" s="9" t="s">
        <v>20</v>
      </c>
      <c r="L118" s="5">
        <v>570.98</v>
      </c>
      <c r="M118" s="1" t="d">
        <v>2024-08-05</v>
      </c>
      <c r="N118" s="10">
        <v>14.4</v>
      </c>
      <c r="O118" s="9" t="s">
        <v>50</v>
      </c>
    </row>
    <row r="119" spans="1:15" ht="12" x14ac:dyDescent="0.15">
      <c r="A119" s="1" t="d">
        <v>2023-01-26</v>
      </c>
      <c r="B119" s="3" t="s">
        <v>481</v>
      </c>
      <c r="C119" s="3" t="s">
        <v>482</v>
      </c>
      <c r="D119" s="4" t="s">
        <v>17</v>
      </c>
      <c r="E119" s="4" t="s">
        <v>18</v>
      </c>
      <c r="F119" s="6" t="s">
        <v>16</v>
      </c>
      <c r="G119" s="3" t="s">
        <v>483</v>
      </c>
      <c r="H119" s="3" t="s">
        <v>16</v>
      </c>
      <c r="I119" s="4" t="s">
        <v>484</v>
      </c>
      <c r="J119" s="1" t="d">
        <v>2023-01-26</v>
      </c>
      <c r="K119" s="9" t="s">
        <v>20</v>
      </c>
      <c r="L119" s="5">
        <v>564.44000000000005</v>
      </c>
      <c r="M119" s="1" t="d">
        <v>2023-04-01</v>
      </c>
      <c r="N119" s="10">
        <v>33.4</v>
      </c>
      <c r="O119" s="9" t="s">
        <v>212</v>
      </c>
    </row>
    <row r="120" spans="1:15" ht="24" x14ac:dyDescent="0.15">
      <c r="A120" s="1" t="d">
        <v>2021-12-07</v>
      </c>
      <c r="B120" s="3" t="s">
        <v>485</v>
      </c>
      <c r="C120" s="3" t="s">
        <v>16</v>
      </c>
      <c r="D120" s="4" t="s">
        <v>17</v>
      </c>
      <c r="E120" s="4" t="s">
        <v>18</v>
      </c>
      <c r="F120" s="5">
        <v>5907.23</v>
      </c>
      <c r="G120" s="3" t="s">
        <v>173</v>
      </c>
      <c r="H120" s="3" t="s">
        <v>16</v>
      </c>
      <c r="I120" s="4" t="s">
        <v>486</v>
      </c>
      <c r="J120" s="1" t="d">
        <v>2021-12-07</v>
      </c>
      <c r="K120" s="9" t="s">
        <v>20</v>
      </c>
      <c r="L120" s="5">
        <v>553.30999999999995</v>
      </c>
      <c r="M120" s="1" t="d">
        <v>2022-05-19</v>
      </c>
      <c r="N120" s="6" t="s">
        <v>16</v>
      </c>
      <c r="O120" s="9" t="s">
        <v>487</v>
      </c>
    </row>
    <row r="121" spans="1:15" ht="12" x14ac:dyDescent="0.15">
      <c r="A121" s="1" t="d">
        <v>2025-03-11</v>
      </c>
      <c r="B121" s="3" t="s">
        <v>488</v>
      </c>
      <c r="C121" s="3" t="s">
        <v>16</v>
      </c>
      <c r="D121" s="4" t="s">
        <v>17</v>
      </c>
      <c r="E121" s="4" t="s">
        <v>18</v>
      </c>
      <c r="F121" s="5">
        <v>808.96</v>
      </c>
      <c r="G121" s="3" t="s">
        <v>489</v>
      </c>
      <c r="H121" s="3" t="s">
        <v>490</v>
      </c>
      <c r="I121" s="4" t="s">
        <v>491</v>
      </c>
      <c r="J121" s="1" t="d">
        <v>2025-03-11</v>
      </c>
      <c r="K121" s="9" t="s">
        <v>20</v>
      </c>
      <c r="L121" s="5">
        <v>552.52</v>
      </c>
      <c r="M121" s="1" t="d">
        <v>2026-02-24</v>
      </c>
      <c r="N121" s="10">
        <v>76.8</v>
      </c>
      <c r="O121" s="9" t="s">
        <v>212</v>
      </c>
    </row>
    <row r="122" spans="1:15" ht="24" x14ac:dyDescent="0.15">
      <c r="A122" s="1" t="d">
        <v>2025-08-13</v>
      </c>
      <c r="B122" s="3" t="s">
        <v>492</v>
      </c>
      <c r="C122" s="3" t="s">
        <v>16</v>
      </c>
      <c r="D122" s="4" t="s">
        <v>17</v>
      </c>
      <c r="E122" s="4" t="s">
        <v>18</v>
      </c>
      <c r="F122" s="5">
        <v>1434.05</v>
      </c>
      <c r="G122" s="3" t="s">
        <v>493</v>
      </c>
      <c r="H122" s="3" t="s">
        <v>16</v>
      </c>
      <c r="I122" s="4" t="s">
        <v>494</v>
      </c>
      <c r="J122" s="1" t="d">
        <v>2025-08-13</v>
      </c>
      <c r="K122" s="9" t="s">
        <v>20</v>
      </c>
      <c r="L122" s="5">
        <v>549.04</v>
      </c>
      <c r="M122" s="1" t="d">
        <v>2025-12-17</v>
      </c>
      <c r="N122" s="10">
        <v>93.5</v>
      </c>
      <c r="O122" s="9" t="s">
        <v>495</v>
      </c>
    </row>
    <row r="123" spans="1:15" ht="12" x14ac:dyDescent="0.15">
      <c r="A123" s="1" t="d">
        <v>2025-12-26</v>
      </c>
      <c r="B123" s="3" t="s">
        <v>496</v>
      </c>
      <c r="C123" s="3" t="s">
        <v>16</v>
      </c>
      <c r="D123" s="4" t="s">
        <v>17</v>
      </c>
      <c r="E123" s="4" t="s">
        <v>18</v>
      </c>
      <c r="F123" s="5">
        <v>2365.56</v>
      </c>
      <c r="G123" s="3" t="s">
        <v>497</v>
      </c>
      <c r="H123" s="3" t="s">
        <v>498</v>
      </c>
      <c r="I123" s="4" t="s">
        <v>499</v>
      </c>
      <c r="J123" s="1" t="d">
        <v>2025-12-26</v>
      </c>
      <c r="K123" s="9" t="s">
        <v>20</v>
      </c>
      <c r="L123" s="5">
        <v>516</v>
      </c>
      <c r="M123" s="1" t="d">
        <v>2026-04-23</v>
      </c>
      <c r="N123" s="6" t="s">
        <v>16</v>
      </c>
      <c r="O123" s="9" t="s">
        <v>393</v>
      </c>
    </row>
    <row r="124" spans="1:15" ht="12" x14ac:dyDescent="0.15">
      <c r="A124" s="1" t="d">
        <v>2023-06-12</v>
      </c>
      <c r="B124" s="3" t="s">
        <v>500</v>
      </c>
      <c r="C124" s="3" t="s">
        <v>16</v>
      </c>
      <c r="D124" s="4" t="s">
        <v>17</v>
      </c>
      <c r="E124" s="4" t="s">
        <v>18</v>
      </c>
      <c r="F124" s="5">
        <v>10764.73</v>
      </c>
      <c r="G124" s="3" t="s">
        <v>501</v>
      </c>
      <c r="H124" s="3" t="s">
        <v>403</v>
      </c>
      <c r="I124" s="4" t="s">
        <v>502</v>
      </c>
      <c r="J124" s="1" t="d">
        <v>2023-06-12</v>
      </c>
      <c r="K124" s="9" t="s">
        <v>20</v>
      </c>
      <c r="L124" s="5">
        <v>513.73</v>
      </c>
      <c r="M124" s="1" t="d">
        <v>2023-11-01</v>
      </c>
      <c r="N124" s="6" t="s">
        <v>16</v>
      </c>
      <c r="O124" s="9" t="s">
        <v>110</v>
      </c>
    </row>
    <row r="125" spans="1:15" ht="12" x14ac:dyDescent="0.15">
      <c r="A125" s="1" t="d">
        <v>2023-07-24</v>
      </c>
      <c r="B125" s="3" t="s">
        <v>503</v>
      </c>
      <c r="C125" s="3" t="s">
        <v>16</v>
      </c>
      <c r="D125" s="4" t="s">
        <v>17</v>
      </c>
      <c r="E125" s="4" t="s">
        <v>18</v>
      </c>
      <c r="F125" s="5">
        <v>3700</v>
      </c>
      <c r="G125" s="3" t="s">
        <v>504</v>
      </c>
      <c r="H125" s="3" t="s">
        <v>403</v>
      </c>
      <c r="I125" s="4" t="s">
        <v>505</v>
      </c>
      <c r="J125" s="1" t="d">
        <v>2023-07-24</v>
      </c>
      <c r="K125" s="9" t="s">
        <v>20</v>
      </c>
      <c r="L125" s="5">
        <v>500</v>
      </c>
      <c r="M125" s="1" t="d">
        <v>2023-12-04</v>
      </c>
      <c r="N125" s="6" t="s">
        <v>16</v>
      </c>
      <c r="O125" s="9" t="s">
        <v>101</v>
      </c>
    </row>
    <row r="126" spans="1:15" ht="24" x14ac:dyDescent="0.15">
      <c r="A126" s="1" t="d">
        <v>2022-04-21</v>
      </c>
      <c r="B126" s="3" t="s">
        <v>506</v>
      </c>
      <c r="C126" s="3" t="s">
        <v>507</v>
      </c>
      <c r="D126" s="4" t="s">
        <v>17</v>
      </c>
      <c r="E126" s="4" t="s">
        <v>18</v>
      </c>
      <c r="F126" s="5">
        <v>15.5</v>
      </c>
      <c r="G126" s="3" t="s">
        <v>306</v>
      </c>
      <c r="H126" s="3" t="s">
        <v>16</v>
      </c>
      <c r="I126" s="4" t="s">
        <v>508</v>
      </c>
      <c r="J126" s="1" t="d">
        <v>2022-04-21</v>
      </c>
      <c r="K126" s="9" t="s">
        <v>20</v>
      </c>
      <c r="L126" s="5">
        <v>492.39</v>
      </c>
      <c r="M126" s="1" t="d">
        <v>2022-04-14</v>
      </c>
      <c r="N126" s="10">
        <v>51.1</v>
      </c>
      <c r="O126" s="9" t="s">
        <v>65</v>
      </c>
    </row>
    <row r="127" spans="1:15" ht="12" x14ac:dyDescent="0.15">
      <c r="A127" s="1" t="d">
        <v>2023-02-11</v>
      </c>
      <c r="B127" s="3" t="s">
        <v>402</v>
      </c>
      <c r="C127" s="3" t="s">
        <v>16</v>
      </c>
      <c r="D127" s="4" t="s">
        <v>17</v>
      </c>
      <c r="E127" s="4" t="s">
        <v>18</v>
      </c>
      <c r="F127" s="6" t="s">
        <v>16</v>
      </c>
      <c r="G127" s="3" t="s">
        <v>16</v>
      </c>
      <c r="H127" s="3" t="s">
        <v>16</v>
      </c>
      <c r="I127" s="4" t="s">
        <v>509</v>
      </c>
      <c r="J127" s="1" t="d">
        <v>2023-02-11</v>
      </c>
      <c r="K127" s="9" t="s">
        <v>20</v>
      </c>
      <c r="L127" s="5">
        <v>483.87</v>
      </c>
      <c r="M127" s="1" t="d">
        <v>2023-02-11</v>
      </c>
      <c r="N127" s="6" t="s">
        <v>16</v>
      </c>
      <c r="O127" s="9" t="s">
        <v>510</v>
      </c>
    </row>
    <row r="128" spans="1:15" ht="60" x14ac:dyDescent="0.15">
      <c r="A128" s="1" t="d">
        <v>2022-03-08</v>
      </c>
      <c r="B128" s="3" t="s">
        <v>511</v>
      </c>
      <c r="C128" s="3" t="s">
        <v>16</v>
      </c>
      <c r="D128" s="4" t="s">
        <v>17</v>
      </c>
      <c r="E128" s="4" t="s">
        <v>18</v>
      </c>
      <c r="F128" s="5">
        <v>7550.85</v>
      </c>
      <c r="G128" s="3" t="s">
        <v>512</v>
      </c>
      <c r="H128" s="3" t="s">
        <v>513</v>
      </c>
      <c r="I128" s="4" t="s">
        <v>514</v>
      </c>
      <c r="J128" s="1" t="d">
        <v>2022-03-08</v>
      </c>
      <c r="K128" s="9" t="s">
        <v>20</v>
      </c>
      <c r="L128" s="5">
        <v>483.46</v>
      </c>
      <c r="M128" s="1" t="d">
        <v>2022-09-12</v>
      </c>
      <c r="N128" s="6" t="s">
        <v>16</v>
      </c>
      <c r="O128" s="9" t="s">
        <v>40</v>
      </c>
    </row>
    <row r="129" spans="1:15" ht="24" x14ac:dyDescent="0.15">
      <c r="A129" s="1" t="d">
        <v>2023-03-21</v>
      </c>
      <c r="B129" s="3" t="s">
        <v>515</v>
      </c>
      <c r="C129" s="3" t="s">
        <v>16</v>
      </c>
      <c r="D129" s="4" t="s">
        <v>17</v>
      </c>
      <c r="E129" s="4" t="s">
        <v>18</v>
      </c>
      <c r="F129" s="5">
        <v>551.54</v>
      </c>
      <c r="G129" s="3" t="s">
        <v>516</v>
      </c>
      <c r="H129" s="3" t="s">
        <v>517</v>
      </c>
      <c r="I129" s="4" t="s">
        <v>518</v>
      </c>
      <c r="J129" s="1" t="d">
        <v>2023-03-21</v>
      </c>
      <c r="K129" s="9" t="s">
        <v>20</v>
      </c>
      <c r="L129" s="5">
        <v>483.38</v>
      </c>
      <c r="M129" s="1" t="d">
        <v>2023-09-26</v>
      </c>
      <c r="N129" s="10">
        <v>711.9</v>
      </c>
      <c r="O129" s="9" t="s">
        <v>427</v>
      </c>
    </row>
    <row r="130" spans="1:15" ht="24" x14ac:dyDescent="0.15">
      <c r="A130" s="1" t="d">
        <v>2023-07-17</v>
      </c>
      <c r="B130" s="3" t="s">
        <v>519</v>
      </c>
      <c r="C130" s="3" t="s">
        <v>520</v>
      </c>
      <c r="D130" s="4" t="s">
        <v>17</v>
      </c>
      <c r="E130" s="4" t="s">
        <v>18</v>
      </c>
      <c r="F130" s="5">
        <v>310.25</v>
      </c>
      <c r="G130" s="3" t="s">
        <v>521</v>
      </c>
      <c r="H130" s="3" t="s">
        <v>16</v>
      </c>
      <c r="I130" s="4" t="s">
        <v>522</v>
      </c>
      <c r="J130" s="1" t="d">
        <v>2023-07-17</v>
      </c>
      <c r="K130" s="9" t="s">
        <v>20</v>
      </c>
      <c r="L130" s="5">
        <v>482.88</v>
      </c>
      <c r="M130" s="1" t="d">
        <v>2024-04-13</v>
      </c>
      <c r="N130" s="10">
        <v>54.6</v>
      </c>
      <c r="O130" s="9" t="s">
        <v>183</v>
      </c>
    </row>
    <row r="131" spans="1:15" ht="24" x14ac:dyDescent="0.15">
      <c r="A131" s="1" t="d">
        <v>2021-12-17</v>
      </c>
      <c r="B131" s="3" t="s">
        <v>523</v>
      </c>
      <c r="C131" s="3" t="s">
        <v>16</v>
      </c>
      <c r="D131" s="4" t="s">
        <v>17</v>
      </c>
      <c r="E131" s="4" t="s">
        <v>18</v>
      </c>
      <c r="F131" s="5">
        <v>2741.3</v>
      </c>
      <c r="G131" s="3" t="s">
        <v>403</v>
      </c>
      <c r="H131" s="3" t="s">
        <v>524</v>
      </c>
      <c r="I131" s="4" t="s">
        <v>525</v>
      </c>
      <c r="J131" s="1" t="d">
        <v>2021-12-17</v>
      </c>
      <c r="K131" s="9" t="s">
        <v>20</v>
      </c>
      <c r="L131" s="5">
        <v>482.64</v>
      </c>
      <c r="M131" s="1" t="d">
        <v>2022-05-13</v>
      </c>
      <c r="N131" s="6" t="s">
        <v>16</v>
      </c>
      <c r="O131" s="9" t="s">
        <v>93</v>
      </c>
    </row>
    <row r="132" spans="1:15" ht="36" x14ac:dyDescent="0.15">
      <c r="A132" s="1" t="d">
        <v>2023-03-13</v>
      </c>
      <c r="B132" s="3" t="s">
        <v>526</v>
      </c>
      <c r="C132" s="3" t="s">
        <v>16</v>
      </c>
      <c r="D132" s="4" t="s">
        <v>17</v>
      </c>
      <c r="E132" s="4" t="s">
        <v>18</v>
      </c>
      <c r="F132" s="5">
        <v>1763.78</v>
      </c>
      <c r="G132" s="3" t="s">
        <v>527</v>
      </c>
      <c r="H132" s="3" t="s">
        <v>528</v>
      </c>
      <c r="I132" s="4" t="s">
        <v>529</v>
      </c>
      <c r="J132" s="1" t="d">
        <v>2023-03-13</v>
      </c>
      <c r="K132" s="9" t="s">
        <v>20</v>
      </c>
      <c r="L132" s="5">
        <v>480.92</v>
      </c>
      <c r="M132" s="1" t="d">
        <v>2023-05-31</v>
      </c>
      <c r="N132" s="6" t="s">
        <v>16</v>
      </c>
      <c r="O132" s="9" t="s">
        <v>530</v>
      </c>
    </row>
    <row r="133" spans="1:15" ht="24" x14ac:dyDescent="0.15">
      <c r="A133" s="1" t="d">
        <v>2023-08-02</v>
      </c>
      <c r="B133" s="3" t="s">
        <v>531</v>
      </c>
      <c r="C133" s="3" t="s">
        <v>532</v>
      </c>
      <c r="D133" s="4" t="s">
        <v>17</v>
      </c>
      <c r="E133" s="4" t="s">
        <v>18</v>
      </c>
      <c r="F133" s="5">
        <v>289.39999999999998</v>
      </c>
      <c r="G133" s="3" t="s">
        <v>533</v>
      </c>
      <c r="H133" s="3" t="s">
        <v>534</v>
      </c>
      <c r="I133" s="4" t="s">
        <v>535</v>
      </c>
      <c r="J133" s="1" t="d">
        <v>2023-08-02</v>
      </c>
      <c r="K133" s="9" t="s">
        <v>20</v>
      </c>
      <c r="L133" s="5">
        <v>479.8</v>
      </c>
      <c r="M133" s="1" t="d">
        <v>2023-10-16</v>
      </c>
      <c r="N133" s="10">
        <v>-194.7</v>
      </c>
      <c r="O133" s="9" t="s">
        <v>50</v>
      </c>
    </row>
    <row r="134" spans="1:15" ht="24" x14ac:dyDescent="0.15">
      <c r="A134" s="1" t="d">
        <v>2025-04-23</v>
      </c>
      <c r="B134" s="3" t="s">
        <v>536</v>
      </c>
      <c r="C134" s="3" t="s">
        <v>16</v>
      </c>
      <c r="D134" s="4" t="s">
        <v>17</v>
      </c>
      <c r="E134" s="4" t="s">
        <v>18</v>
      </c>
      <c r="F134" s="6" t="s">
        <v>16</v>
      </c>
      <c r="G134" s="3" t="s">
        <v>537</v>
      </c>
      <c r="H134" s="3" t="s">
        <v>16</v>
      </c>
      <c r="I134" s="4" t="s">
        <v>538</v>
      </c>
      <c r="J134" s="1" t="d">
        <v>2025-04-23</v>
      </c>
      <c r="K134" s="9" t="s">
        <v>20</v>
      </c>
      <c r="L134" s="5">
        <v>477.44</v>
      </c>
      <c r="M134" s="1" t="d">
        <v>2025-04-23</v>
      </c>
      <c r="N134" s="5">
        <v>-1.73</v>
      </c>
      <c r="O134" s="9" t="s">
        <v>539</v>
      </c>
    </row>
    <row r="135" spans="1:15" ht="24" x14ac:dyDescent="0.15">
      <c r="A135" s="1" t="d">
        <v>2024-07-16</v>
      </c>
      <c r="B135" s="3" t="s">
        <v>540</v>
      </c>
      <c r="C135" s="3" t="s">
        <v>16</v>
      </c>
      <c r="D135" s="4" t="s">
        <v>17</v>
      </c>
      <c r="E135" s="4" t="s">
        <v>18</v>
      </c>
      <c r="F135" s="5">
        <v>506.47</v>
      </c>
      <c r="G135" s="3" t="s">
        <v>541</v>
      </c>
      <c r="H135" s="3" t="s">
        <v>16</v>
      </c>
      <c r="I135" s="4" t="s">
        <v>542</v>
      </c>
      <c r="J135" s="1" t="d">
        <v>2024-07-16</v>
      </c>
      <c r="K135" s="9" t="s">
        <v>20</v>
      </c>
      <c r="L135" s="5">
        <v>465.54</v>
      </c>
      <c r="M135" s="1" t="d">
        <v>2024-12-04</v>
      </c>
      <c r="N135" s="10">
        <v>42.7</v>
      </c>
      <c r="O135" s="9" t="s">
        <v>543</v>
      </c>
    </row>
    <row r="136" spans="1:15" ht="12" x14ac:dyDescent="0.15">
      <c r="A136" s="1" t="d">
        <v>2023-07-17</v>
      </c>
      <c r="B136" s="3" t="s">
        <v>519</v>
      </c>
      <c r="C136" s="3" t="s">
        <v>520</v>
      </c>
      <c r="D136" s="4" t="s">
        <v>17</v>
      </c>
      <c r="E136" s="4" t="s">
        <v>18</v>
      </c>
      <c r="F136" s="5">
        <v>739.79</v>
      </c>
      <c r="G136" s="3" t="s">
        <v>521</v>
      </c>
      <c r="H136" s="3" t="s">
        <v>16</v>
      </c>
      <c r="I136" s="4" t="s">
        <v>544</v>
      </c>
      <c r="J136" s="1" t="d">
        <v>2023-07-17</v>
      </c>
      <c r="K136" s="9" t="s">
        <v>20</v>
      </c>
      <c r="L136" s="5">
        <v>463.96</v>
      </c>
      <c r="M136" s="1" t="d">
        <v>2024-05-08</v>
      </c>
      <c r="N136" s="10">
        <v>54.6</v>
      </c>
      <c r="O136" s="9" t="s">
        <v>340</v>
      </c>
    </row>
    <row r="137" spans="1:15" ht="24" x14ac:dyDescent="0.15">
      <c r="A137" s="1" t="d">
        <v>2022-04-11</v>
      </c>
      <c r="B137" s="3" t="s">
        <v>545</v>
      </c>
      <c r="C137" s="3" t="s">
        <v>16</v>
      </c>
      <c r="D137" s="4" t="s">
        <v>17</v>
      </c>
      <c r="E137" s="4" t="s">
        <v>18</v>
      </c>
      <c r="F137" s="5">
        <v>7465.43</v>
      </c>
      <c r="G137" s="3" t="s">
        <v>403</v>
      </c>
      <c r="H137" s="3" t="s">
        <v>546</v>
      </c>
      <c r="I137" s="4" t="s">
        <v>547</v>
      </c>
      <c r="J137" s="1" t="d">
        <v>2022-04-11</v>
      </c>
      <c r="K137" s="9" t="s">
        <v>20</v>
      </c>
      <c r="L137" s="5">
        <v>463.61</v>
      </c>
      <c r="M137" s="1" t="d">
        <v>2022-08-16</v>
      </c>
      <c r="N137" s="6" t="s">
        <v>16</v>
      </c>
      <c r="O137" s="9" t="s">
        <v>487</v>
      </c>
    </row>
    <row r="138" spans="1:15" ht="24" x14ac:dyDescent="0.15">
      <c r="A138" s="1" t="d">
        <v>2024-02-05</v>
      </c>
      <c r="B138" s="3" t="s">
        <v>548</v>
      </c>
      <c r="C138" s="3" t="s">
        <v>16</v>
      </c>
      <c r="D138" s="4" t="s">
        <v>17</v>
      </c>
      <c r="E138" s="4" t="s">
        <v>18</v>
      </c>
      <c r="F138" s="5">
        <v>1639.78</v>
      </c>
      <c r="G138" s="3" t="s">
        <v>403</v>
      </c>
      <c r="H138" s="3" t="s">
        <v>16</v>
      </c>
      <c r="I138" s="4" t="s">
        <v>549</v>
      </c>
      <c r="J138" s="1" t="d">
        <v>2024-02-05</v>
      </c>
      <c r="K138" s="9" t="s">
        <v>20</v>
      </c>
      <c r="L138" s="5">
        <v>448.79</v>
      </c>
      <c r="M138" s="1" t="d">
        <v>2024-07-02</v>
      </c>
      <c r="N138" s="6" t="s">
        <v>16</v>
      </c>
      <c r="O138" s="9" t="s">
        <v>487</v>
      </c>
    </row>
    <row r="139" spans="1:15" ht="24" x14ac:dyDescent="0.15">
      <c r="A139" s="1" t="d">
        <v>2023-11-07</v>
      </c>
      <c r="B139" s="3" t="s">
        <v>550</v>
      </c>
      <c r="C139" s="3" t="s">
        <v>551</v>
      </c>
      <c r="D139" s="4" t="s">
        <v>17</v>
      </c>
      <c r="E139" s="4" t="s">
        <v>18</v>
      </c>
      <c r="F139" s="5">
        <v>318.62</v>
      </c>
      <c r="G139" s="3" t="s">
        <v>552</v>
      </c>
      <c r="H139" s="3" t="s">
        <v>16</v>
      </c>
      <c r="I139" s="4" t="s">
        <v>553</v>
      </c>
      <c r="J139" s="1" t="d">
        <v>2023-11-07</v>
      </c>
      <c r="K139" s="9" t="s">
        <v>20</v>
      </c>
      <c r="L139" s="5">
        <v>448.07</v>
      </c>
      <c r="M139" s="1" t="d">
        <v>2023-09-30</v>
      </c>
      <c r="N139" s="10">
        <v>211.7</v>
      </c>
      <c r="O139" s="9" t="s">
        <v>65</v>
      </c>
    </row>
    <row r="140" spans="1:15" ht="36" x14ac:dyDescent="0.15">
      <c r="A140" s="1" t="d">
        <v>2024-10-17</v>
      </c>
      <c r="B140" s="3" t="s">
        <v>554</v>
      </c>
      <c r="C140" s="3" t="s">
        <v>16</v>
      </c>
      <c r="D140" s="4" t="s">
        <v>17</v>
      </c>
      <c r="E140" s="4" t="s">
        <v>18</v>
      </c>
      <c r="F140" s="5">
        <v>2085.94</v>
      </c>
      <c r="G140" s="3" t="s">
        <v>555</v>
      </c>
      <c r="H140" s="3" t="s">
        <v>108</v>
      </c>
      <c r="I140" s="4" t="s">
        <v>556</v>
      </c>
      <c r="J140" s="1" t="d">
        <v>2024-10-17</v>
      </c>
      <c r="K140" s="9" t="s">
        <v>20</v>
      </c>
      <c r="L140" s="5">
        <v>445.68</v>
      </c>
      <c r="M140" s="1" t="d">
        <v>2025-02-14</v>
      </c>
      <c r="N140" s="10">
        <v>-14</v>
      </c>
      <c r="O140" s="9" t="s">
        <v>557</v>
      </c>
    </row>
    <row r="141" spans="1:15" ht="60" x14ac:dyDescent="0.15">
      <c r="A141" s="1" t="d">
        <v>2023-01-18</v>
      </c>
      <c r="B141" s="3" t="s">
        <v>558</v>
      </c>
      <c r="C141" s="3" t="s">
        <v>16</v>
      </c>
      <c r="D141" s="4" t="s">
        <v>17</v>
      </c>
      <c r="E141" s="4" t="s">
        <v>18</v>
      </c>
      <c r="F141" s="5">
        <v>686.7</v>
      </c>
      <c r="G141" s="3" t="s">
        <v>559</v>
      </c>
      <c r="H141" s="3" t="s">
        <v>560</v>
      </c>
      <c r="I141" s="4" t="s">
        <v>561</v>
      </c>
      <c r="J141" s="1" t="d">
        <v>2023-01-18</v>
      </c>
      <c r="K141" s="9" t="s">
        <v>20</v>
      </c>
      <c r="L141" s="5">
        <v>438.66</v>
      </c>
      <c r="M141" s="1" t="d">
        <v>2023-08-09</v>
      </c>
      <c r="N141" s="6" t="s">
        <v>16</v>
      </c>
      <c r="O141" s="9" t="s">
        <v>562</v>
      </c>
    </row>
    <row r="142" spans="1:15" ht="48" x14ac:dyDescent="0.15">
      <c r="A142" s="1" t="d">
        <v>2024-04-26</v>
      </c>
      <c r="B142" s="3" t="s">
        <v>563</v>
      </c>
      <c r="C142" s="3" t="s">
        <v>16</v>
      </c>
      <c r="D142" s="4" t="s">
        <v>17</v>
      </c>
      <c r="E142" s="4" t="s">
        <v>18</v>
      </c>
      <c r="F142" s="5">
        <v>134.69</v>
      </c>
      <c r="G142" s="3" t="s">
        <v>126</v>
      </c>
      <c r="H142" s="3" t="s">
        <v>564</v>
      </c>
      <c r="I142" s="4" t="s">
        <v>565</v>
      </c>
      <c r="J142" s="1" t="d">
        <v>2024-04-26</v>
      </c>
      <c r="K142" s="9" t="s">
        <v>20</v>
      </c>
      <c r="L142" s="5">
        <v>434.39</v>
      </c>
      <c r="M142" s="1" t="d">
        <v>2024-06-11</v>
      </c>
      <c r="N142" s="6" t="s">
        <v>16</v>
      </c>
      <c r="O142" s="9" t="s">
        <v>566</v>
      </c>
    </row>
    <row r="143" spans="1:15" ht="24" x14ac:dyDescent="0.15">
      <c r="A143" s="1" t="d">
        <v>2021-12-29</v>
      </c>
      <c r="B143" s="3" t="s">
        <v>567</v>
      </c>
      <c r="C143" s="3" t="s">
        <v>568</v>
      </c>
      <c r="D143" s="4" t="s">
        <v>17</v>
      </c>
      <c r="E143" s="4" t="s">
        <v>18</v>
      </c>
      <c r="F143" s="6" t="s">
        <v>16</v>
      </c>
      <c r="G143" s="3" t="s">
        <v>569</v>
      </c>
      <c r="H143" s="3" t="s">
        <v>16</v>
      </c>
      <c r="I143" s="4" t="s">
        <v>570</v>
      </c>
      <c r="J143" s="1" t="d">
        <v>2021-12-29</v>
      </c>
      <c r="K143" s="9" t="s">
        <v>20</v>
      </c>
      <c r="L143" s="5">
        <v>433.41</v>
      </c>
      <c r="M143" s="1" t="d">
        <v>2021-12-29</v>
      </c>
      <c r="N143" s="10">
        <v>31.3</v>
      </c>
      <c r="O143" s="9" t="s">
        <v>45</v>
      </c>
    </row>
    <row r="144" spans="1:15" ht="12" x14ac:dyDescent="0.15">
      <c r="A144" s="1" t="d">
        <v>2025-11-19</v>
      </c>
      <c r="B144" s="3" t="s">
        <v>571</v>
      </c>
      <c r="C144" s="3" t="s">
        <v>16</v>
      </c>
      <c r="D144" s="4" t="s">
        <v>17</v>
      </c>
      <c r="E144" s="4" t="s">
        <v>18</v>
      </c>
      <c r="F144" s="5">
        <v>1992.04</v>
      </c>
      <c r="G144" s="3" t="s">
        <v>572</v>
      </c>
      <c r="H144" s="3" t="s">
        <v>573</v>
      </c>
      <c r="I144" s="4" t="s">
        <v>574</v>
      </c>
      <c r="J144" s="1" t="d">
        <v>2025-11-19</v>
      </c>
      <c r="K144" s="9" t="s">
        <v>20</v>
      </c>
      <c r="L144" s="5">
        <v>428.63</v>
      </c>
      <c r="M144" s="1" t="d">
        <v>2026-04-28</v>
      </c>
      <c r="N144" s="10">
        <v>-13.2</v>
      </c>
      <c r="O144" s="9" t="s">
        <v>40</v>
      </c>
    </row>
    <row r="145" spans="1:15" ht="36" x14ac:dyDescent="0.15">
      <c r="A145" s="1" t="d">
        <v>2023-09-18</v>
      </c>
      <c r="B145" s="3" t="s">
        <v>575</v>
      </c>
      <c r="C145" s="3" t="s">
        <v>16</v>
      </c>
      <c r="D145" s="4" t="s">
        <v>17</v>
      </c>
      <c r="E145" s="4" t="s">
        <v>18</v>
      </c>
      <c r="F145" s="6" t="s">
        <v>16</v>
      </c>
      <c r="G145" s="3" t="s">
        <v>576</v>
      </c>
      <c r="H145" s="3" t="s">
        <v>577</v>
      </c>
      <c r="I145" s="4" t="s">
        <v>578</v>
      </c>
      <c r="J145" s="1" t="d">
        <v>2023-09-18</v>
      </c>
      <c r="K145" s="9" t="s">
        <v>20</v>
      </c>
      <c r="L145" s="5">
        <v>427.26</v>
      </c>
      <c r="M145" s="1" t="d">
        <v>2023-11-30</v>
      </c>
      <c r="N145" s="10">
        <v>-22.1</v>
      </c>
      <c r="O145" s="9" t="s">
        <v>579</v>
      </c>
    </row>
    <row r="146" spans="1:15" ht="12" x14ac:dyDescent="0.15">
      <c r="A146" s="1" t="d">
        <v>2023-01-17</v>
      </c>
      <c r="B146" s="3" t="s">
        <v>580</v>
      </c>
      <c r="C146" s="3" t="s">
        <v>581</v>
      </c>
      <c r="D146" s="4" t="s">
        <v>17</v>
      </c>
      <c r="E146" s="4" t="s">
        <v>18</v>
      </c>
      <c r="F146" s="5">
        <v>5.87</v>
      </c>
      <c r="G146" s="3" t="s">
        <v>16</v>
      </c>
      <c r="H146" s="3" t="s">
        <v>582</v>
      </c>
      <c r="I146" s="4" t="s">
        <v>583</v>
      </c>
      <c r="J146" s="1" t="d">
        <v>2023-01-17</v>
      </c>
      <c r="K146" s="9" t="s">
        <v>20</v>
      </c>
      <c r="L146" s="5">
        <v>419.99</v>
      </c>
      <c r="M146" s="1" t="d">
        <v>2022-12-31</v>
      </c>
      <c r="N146" s="10">
        <v>80.7</v>
      </c>
      <c r="O146" s="9" t="s">
        <v>50</v>
      </c>
    </row>
    <row r="147" spans="1:15" ht="12" x14ac:dyDescent="0.15">
      <c r="A147" s="1" t="d">
        <v>2022-10-19</v>
      </c>
      <c r="B147" s="3" t="s">
        <v>584</v>
      </c>
      <c r="C147" s="3" t="s">
        <v>16</v>
      </c>
      <c r="D147" s="4" t="s">
        <v>17</v>
      </c>
      <c r="E147" s="4" t="s">
        <v>18</v>
      </c>
      <c r="F147" s="6" t="s">
        <v>16</v>
      </c>
      <c r="G147" s="3" t="s">
        <v>585</v>
      </c>
      <c r="H147" s="3" t="s">
        <v>16</v>
      </c>
      <c r="I147" s="4" t="s">
        <v>586</v>
      </c>
      <c r="J147" s="1" t="d">
        <v>2022-10-19</v>
      </c>
      <c r="K147" s="9" t="s">
        <v>20</v>
      </c>
      <c r="L147" s="5">
        <v>415</v>
      </c>
      <c r="M147" s="1" t="d">
        <v>2022-10-18</v>
      </c>
      <c r="N147" s="6" t="s">
        <v>16</v>
      </c>
      <c r="O147" s="9" t="s">
        <v>110</v>
      </c>
    </row>
    <row r="148" spans="1:15" ht="12" x14ac:dyDescent="0.15">
      <c r="A148" s="1" t="d">
        <v>2021-12-10</v>
      </c>
      <c r="B148" s="3" t="s">
        <v>587</v>
      </c>
      <c r="C148" s="3" t="s">
        <v>16</v>
      </c>
      <c r="D148" s="4" t="s">
        <v>17</v>
      </c>
      <c r="E148" s="4" t="s">
        <v>18</v>
      </c>
      <c r="F148" s="5">
        <v>748.85</v>
      </c>
      <c r="G148" s="3" t="s">
        <v>588</v>
      </c>
      <c r="H148" s="3" t="s">
        <v>589</v>
      </c>
      <c r="I148" s="4" t="s">
        <v>590</v>
      </c>
      <c r="J148" s="1" t="d">
        <v>2021-12-10</v>
      </c>
      <c r="K148" s="9" t="s">
        <v>20</v>
      </c>
      <c r="L148" s="5">
        <v>415</v>
      </c>
      <c r="M148" s="1" t="d">
        <v>2022-01-25</v>
      </c>
      <c r="N148" s="6" t="s">
        <v>16</v>
      </c>
      <c r="O148" s="9" t="s">
        <v>110</v>
      </c>
    </row>
    <row r="149" spans="1:15" ht="12" x14ac:dyDescent="0.15">
      <c r="A149" s="1" t="d">
        <v>2025-08-05</v>
      </c>
      <c r="B149" s="3" t="s">
        <v>591</v>
      </c>
      <c r="C149" s="3" t="s">
        <v>16</v>
      </c>
      <c r="D149" s="4" t="s">
        <v>17</v>
      </c>
      <c r="E149" s="4" t="s">
        <v>18</v>
      </c>
      <c r="F149" s="6" t="s">
        <v>16</v>
      </c>
      <c r="G149" s="3" t="s">
        <v>90</v>
      </c>
      <c r="H149" s="3" t="s">
        <v>277</v>
      </c>
      <c r="I149" s="4" t="s">
        <v>592</v>
      </c>
      <c r="J149" s="1" t="d">
        <v>2025-08-05</v>
      </c>
      <c r="K149" s="9" t="s">
        <v>20</v>
      </c>
      <c r="L149" s="5">
        <v>400</v>
      </c>
      <c r="M149" s="1" t="d">
        <v>2025-12-01</v>
      </c>
      <c r="N149" s="6" t="s">
        <v>16</v>
      </c>
      <c r="O149" s="9" t="s">
        <v>139</v>
      </c>
    </row>
    <row r="150" spans="1:15" ht="12" x14ac:dyDescent="0.15">
      <c r="A150" s="1" t="d">
        <v>2022-01-11</v>
      </c>
      <c r="B150" s="3" t="s">
        <v>593</v>
      </c>
      <c r="C150" s="3" t="s">
        <v>16</v>
      </c>
      <c r="D150" s="4" t="s">
        <v>17</v>
      </c>
      <c r="E150" s="4" t="s">
        <v>18</v>
      </c>
      <c r="F150" s="5">
        <v>3500</v>
      </c>
      <c r="G150" s="3" t="s">
        <v>594</v>
      </c>
      <c r="H150" s="3" t="s">
        <v>595</v>
      </c>
      <c r="I150" s="4" t="s">
        <v>596</v>
      </c>
      <c r="J150" s="1" t="d">
        <v>2022-01-11</v>
      </c>
      <c r="K150" s="9" t="s">
        <v>20</v>
      </c>
      <c r="L150" s="5">
        <v>400</v>
      </c>
      <c r="M150" s="1" t="d">
        <v>2022-12-23</v>
      </c>
      <c r="N150" s="6" t="s">
        <v>16</v>
      </c>
      <c r="O150" s="9" t="s">
        <v>340</v>
      </c>
    </row>
    <row r="151" spans="1:15" ht="36" x14ac:dyDescent="0.15">
      <c r="A151" s="1" t="d">
        <v>2023-06-09</v>
      </c>
      <c r="B151" s="3" t="s">
        <v>597</v>
      </c>
      <c r="C151" s="3" t="s">
        <v>598</v>
      </c>
      <c r="D151" s="4" t="s">
        <v>17</v>
      </c>
      <c r="E151" s="4" t="s">
        <v>18</v>
      </c>
      <c r="F151" s="5">
        <v>39.57</v>
      </c>
      <c r="G151" s="3" t="s">
        <v>16</v>
      </c>
      <c r="H151" s="3" t="s">
        <v>16</v>
      </c>
      <c r="I151" s="4" t="s">
        <v>599</v>
      </c>
      <c r="J151" s="1" t="d">
        <v>2023-06-09</v>
      </c>
      <c r="K151" s="9" t="s">
        <v>20</v>
      </c>
      <c r="L151" s="5">
        <v>392.93</v>
      </c>
      <c r="M151" s="1" t="d">
        <v>2023-08-03</v>
      </c>
      <c r="N151" s="5">
        <v>5.58</v>
      </c>
      <c r="O151" s="9" t="s">
        <v>600</v>
      </c>
    </row>
    <row r="152" spans="1:15" ht="24" x14ac:dyDescent="0.15">
      <c r="A152" s="1" t="d">
        <v>2025-03-03</v>
      </c>
      <c r="B152" s="3" t="s">
        <v>601</v>
      </c>
      <c r="C152" s="3" t="s">
        <v>16</v>
      </c>
      <c r="D152" s="4" t="s">
        <v>17</v>
      </c>
      <c r="E152" s="4" t="s">
        <v>18</v>
      </c>
      <c r="F152" s="6" t="s">
        <v>16</v>
      </c>
      <c r="G152" s="3" t="s">
        <v>602</v>
      </c>
      <c r="H152" s="3" t="s">
        <v>603</v>
      </c>
      <c r="I152" s="4" t="s">
        <v>604</v>
      </c>
      <c r="J152" s="1" t="d">
        <v>2025-03-03</v>
      </c>
      <c r="K152" s="9" t="s">
        <v>20</v>
      </c>
      <c r="L152" s="5">
        <v>377.87</v>
      </c>
      <c r="M152" s="1" t="d">
        <v>2025-07-02</v>
      </c>
      <c r="N152" s="6" t="s">
        <v>16</v>
      </c>
      <c r="O152" s="9" t="s">
        <v>605</v>
      </c>
    </row>
    <row r="153" spans="1:15" ht="12" x14ac:dyDescent="0.15">
      <c r="A153" s="1" t="d">
        <v>2024-06-03</v>
      </c>
      <c r="B153" s="3" t="s">
        <v>606</v>
      </c>
      <c r="C153" s="3" t="s">
        <v>16</v>
      </c>
      <c r="D153" s="4" t="s">
        <v>17</v>
      </c>
      <c r="E153" s="4" t="s">
        <v>18</v>
      </c>
      <c r="F153" s="5">
        <v>359.24</v>
      </c>
      <c r="G153" s="3" t="s">
        <v>607</v>
      </c>
      <c r="H153" s="3" t="s">
        <v>608</v>
      </c>
      <c r="I153" s="4" t="s">
        <v>609</v>
      </c>
      <c r="J153" s="1" t="d">
        <v>2024-06-03</v>
      </c>
      <c r="K153" s="9" t="s">
        <v>20</v>
      </c>
      <c r="L153" s="5">
        <v>366.1</v>
      </c>
      <c r="M153" s="1" t="d">
        <v>2024-09-02</v>
      </c>
      <c r="N153" s="6" t="s">
        <v>16</v>
      </c>
      <c r="O153" s="9" t="s">
        <v>610</v>
      </c>
    </row>
    <row r="154" spans="1:15" ht="24" x14ac:dyDescent="0.15">
      <c r="A154" s="1" t="d">
        <v>2023-10-23</v>
      </c>
      <c r="B154" s="3" t="s">
        <v>611</v>
      </c>
      <c r="C154" s="3" t="s">
        <v>16</v>
      </c>
      <c r="D154" s="4" t="s">
        <v>17</v>
      </c>
      <c r="E154" s="4" t="s">
        <v>18</v>
      </c>
      <c r="F154" s="5">
        <v>2538.0700000000002</v>
      </c>
      <c r="G154" s="3" t="s">
        <v>327</v>
      </c>
      <c r="H154" s="3" t="s">
        <v>612</v>
      </c>
      <c r="I154" s="4" t="s">
        <v>613</v>
      </c>
      <c r="J154" s="1" t="d">
        <v>2023-10-23</v>
      </c>
      <c r="K154" s="9" t="s">
        <v>20</v>
      </c>
      <c r="L154" s="5">
        <v>364.47</v>
      </c>
      <c r="M154" s="1" t="d">
        <v>2024-01-26</v>
      </c>
      <c r="N154" s="6" t="s">
        <v>16</v>
      </c>
      <c r="O154" s="9" t="s">
        <v>614</v>
      </c>
    </row>
    <row r="155" spans="1:15" ht="12" x14ac:dyDescent="0.15">
      <c r="A155" s="1" t="d">
        <v>2021-10-08</v>
      </c>
      <c r="B155" s="3" t="s">
        <v>615</v>
      </c>
      <c r="C155" s="3" t="s">
        <v>616</v>
      </c>
      <c r="D155" s="4" t="s">
        <v>17</v>
      </c>
      <c r="E155" s="4" t="s">
        <v>18</v>
      </c>
      <c r="F155" s="6" t="s">
        <v>16</v>
      </c>
      <c r="G155" s="3" t="s">
        <v>16</v>
      </c>
      <c r="H155" s="3" t="s">
        <v>617</v>
      </c>
      <c r="I155" s="4" t="s">
        <v>618</v>
      </c>
      <c r="J155" s="1" t="d">
        <v>2021-10-08</v>
      </c>
      <c r="K155" s="9" t="s">
        <v>20</v>
      </c>
      <c r="L155" s="5">
        <v>362.98</v>
      </c>
      <c r="M155" s="1" t="d">
        <v>2021-10-08</v>
      </c>
      <c r="N155" s="10">
        <v>29.1</v>
      </c>
      <c r="O155" s="9" t="s">
        <v>31</v>
      </c>
    </row>
    <row r="156" spans="1:15" ht="24" x14ac:dyDescent="0.15">
      <c r="A156" s="1" t="d">
        <v>2023-04-04</v>
      </c>
      <c r="B156" s="3" t="s">
        <v>567</v>
      </c>
      <c r="C156" s="3" t="s">
        <v>568</v>
      </c>
      <c r="D156" s="4" t="s">
        <v>17</v>
      </c>
      <c r="E156" s="4" t="s">
        <v>18</v>
      </c>
      <c r="F156" s="6" t="s">
        <v>16</v>
      </c>
      <c r="G156" s="3" t="s">
        <v>619</v>
      </c>
      <c r="H156" s="3" t="s">
        <v>16</v>
      </c>
      <c r="I156" s="4" t="s">
        <v>620</v>
      </c>
      <c r="J156" s="1" t="d">
        <v>2023-04-04</v>
      </c>
      <c r="K156" s="9" t="s">
        <v>20</v>
      </c>
      <c r="L156" s="5">
        <v>359.36</v>
      </c>
      <c r="M156" s="1" t="d">
        <v>2023-04-04</v>
      </c>
      <c r="N156" s="10">
        <v>31.3</v>
      </c>
      <c r="O156" s="9" t="s">
        <v>45</v>
      </c>
    </row>
    <row r="157" spans="1:15" ht="12" x14ac:dyDescent="0.15">
      <c r="A157" s="1" t="d">
        <v>2023-03-02</v>
      </c>
      <c r="B157" s="3" t="s">
        <v>567</v>
      </c>
      <c r="C157" s="3" t="s">
        <v>568</v>
      </c>
      <c r="D157" s="4" t="s">
        <v>17</v>
      </c>
      <c r="E157" s="4" t="s">
        <v>18</v>
      </c>
      <c r="F157" s="6" t="s">
        <v>16</v>
      </c>
      <c r="G157" s="3" t="s">
        <v>621</v>
      </c>
      <c r="H157" s="3" t="s">
        <v>16</v>
      </c>
      <c r="I157" s="4" t="s">
        <v>622</v>
      </c>
      <c r="J157" s="1" t="d">
        <v>2023-03-02</v>
      </c>
      <c r="K157" s="9" t="s">
        <v>20</v>
      </c>
      <c r="L157" s="5">
        <v>359.36</v>
      </c>
      <c r="M157" s="1" t="d">
        <v>2023-03-02</v>
      </c>
      <c r="N157" s="10">
        <v>31.3</v>
      </c>
      <c r="O157" s="9" t="s">
        <v>31</v>
      </c>
    </row>
    <row r="158" spans="1:15" ht="12" x14ac:dyDescent="0.15">
      <c r="A158" s="1" t="d">
        <v>2024-12-30</v>
      </c>
      <c r="B158" s="3" t="s">
        <v>623</v>
      </c>
      <c r="C158" s="3" t="s">
        <v>624</v>
      </c>
      <c r="D158" s="4" t="s">
        <v>17</v>
      </c>
      <c r="E158" s="4" t="s">
        <v>18</v>
      </c>
      <c r="F158" s="6" t="s">
        <v>16</v>
      </c>
      <c r="G158" s="3" t="s">
        <v>16</v>
      </c>
      <c r="H158" s="3" t="s">
        <v>625</v>
      </c>
      <c r="I158" s="4" t="s">
        <v>626</v>
      </c>
      <c r="J158" s="1" t="d">
        <v>2024-12-30</v>
      </c>
      <c r="K158" s="9" t="s">
        <v>20</v>
      </c>
      <c r="L158" s="5">
        <v>356.14</v>
      </c>
      <c r="M158" s="1" t="d">
        <v>2024-12-30</v>
      </c>
      <c r="N158" s="10">
        <v>23.9</v>
      </c>
      <c r="O158" s="9" t="s">
        <v>31</v>
      </c>
    </row>
    <row r="159" spans="1:15" ht="36" x14ac:dyDescent="0.15">
      <c r="A159" s="1" t="d">
        <v>2024-11-07</v>
      </c>
      <c r="B159" s="3" t="s">
        <v>627</v>
      </c>
      <c r="C159" s="3" t="s">
        <v>16</v>
      </c>
      <c r="D159" s="4" t="s">
        <v>17</v>
      </c>
      <c r="E159" s="4" t="s">
        <v>18</v>
      </c>
      <c r="F159" s="5">
        <v>139.53</v>
      </c>
      <c r="G159" s="3" t="s">
        <v>628</v>
      </c>
      <c r="H159" s="3" t="s">
        <v>16</v>
      </c>
      <c r="I159" s="4" t="s">
        <v>629</v>
      </c>
      <c r="J159" s="1" t="d">
        <v>2024-11-07</v>
      </c>
      <c r="K159" s="9" t="s">
        <v>20</v>
      </c>
      <c r="L159" s="5">
        <v>351.03</v>
      </c>
      <c r="M159" s="1" t="d">
        <v>2025-01-15</v>
      </c>
      <c r="N159" s="10">
        <v>22.4</v>
      </c>
      <c r="O159" s="9" t="s">
        <v>630</v>
      </c>
    </row>
    <row r="160" spans="1:15" ht="12" x14ac:dyDescent="0.15">
      <c r="A160" s="1" t="d">
        <v>2021-11-04</v>
      </c>
      <c r="B160" s="3" t="s">
        <v>631</v>
      </c>
      <c r="C160" s="3" t="s">
        <v>16</v>
      </c>
      <c r="D160" s="4" t="s">
        <v>17</v>
      </c>
      <c r="E160" s="4" t="s">
        <v>18</v>
      </c>
      <c r="F160" s="6" t="s">
        <v>16</v>
      </c>
      <c r="G160" s="3" t="s">
        <v>116</v>
      </c>
      <c r="H160" s="3" t="s">
        <v>16</v>
      </c>
      <c r="I160" s="4" t="s">
        <v>632</v>
      </c>
      <c r="J160" s="1" t="d">
        <v>2021-11-04</v>
      </c>
      <c r="K160" s="9" t="s">
        <v>20</v>
      </c>
      <c r="L160" s="5">
        <v>346.42</v>
      </c>
      <c r="M160" s="1" t="d">
        <v>2021-11-04</v>
      </c>
      <c r="N160" s="6" t="s">
        <v>16</v>
      </c>
      <c r="O160" s="9" t="s">
        <v>633</v>
      </c>
    </row>
    <row r="161" spans="1:15" ht="48" x14ac:dyDescent="0.15">
      <c r="A161" s="1" t="d">
        <v>2024-10-21</v>
      </c>
      <c r="B161" s="3" t="s">
        <v>634</v>
      </c>
      <c r="C161" s="3" t="s">
        <v>16</v>
      </c>
      <c r="D161" s="4" t="s">
        <v>17</v>
      </c>
      <c r="E161" s="4" t="s">
        <v>18</v>
      </c>
      <c r="F161" s="5">
        <v>872.2</v>
      </c>
      <c r="G161" s="3" t="s">
        <v>635</v>
      </c>
      <c r="H161" s="3" t="s">
        <v>636</v>
      </c>
      <c r="I161" s="4" t="s">
        <v>637</v>
      </c>
      <c r="J161" s="1" t="d">
        <v>2024-10-21</v>
      </c>
      <c r="K161" s="9" t="s">
        <v>20</v>
      </c>
      <c r="L161" s="5">
        <v>346.35</v>
      </c>
      <c r="M161" s="1" t="d">
        <v>2025-02-03</v>
      </c>
      <c r="N161" s="6" t="s">
        <v>16</v>
      </c>
      <c r="O161" s="9" t="s">
        <v>40</v>
      </c>
    </row>
    <row r="162" spans="1:15" ht="36" x14ac:dyDescent="0.15">
      <c r="A162" s="1" t="d">
        <v>2024-08-01</v>
      </c>
      <c r="B162" s="3" t="s">
        <v>638</v>
      </c>
      <c r="C162" s="3" t="s">
        <v>16</v>
      </c>
      <c r="D162" s="4" t="s">
        <v>17</v>
      </c>
      <c r="E162" s="4" t="s">
        <v>18</v>
      </c>
      <c r="F162" s="5">
        <v>522.1</v>
      </c>
      <c r="G162" s="3" t="s">
        <v>639</v>
      </c>
      <c r="H162" s="3" t="s">
        <v>640</v>
      </c>
      <c r="I162" s="4" t="s">
        <v>641</v>
      </c>
      <c r="J162" s="1" t="d">
        <v>2024-08-01</v>
      </c>
      <c r="K162" s="9" t="s">
        <v>20</v>
      </c>
      <c r="L162" s="5">
        <v>345.14</v>
      </c>
      <c r="M162" s="1" t="d">
        <v>2024-10-16</v>
      </c>
      <c r="N162" s="10">
        <v>45.4</v>
      </c>
      <c r="O162" s="9" t="s">
        <v>642</v>
      </c>
    </row>
    <row r="163" spans="1:15" ht="24" x14ac:dyDescent="0.15">
      <c r="A163" s="1" t="d">
        <v>2025-09-22</v>
      </c>
      <c r="B163" s="3" t="s">
        <v>643</v>
      </c>
      <c r="C163" s="3" t="s">
        <v>16</v>
      </c>
      <c r="D163" s="4" t="s">
        <v>17</v>
      </c>
      <c r="E163" s="4" t="s">
        <v>18</v>
      </c>
      <c r="F163" s="5">
        <v>1607.48</v>
      </c>
      <c r="G163" s="3" t="s">
        <v>403</v>
      </c>
      <c r="H163" s="3" t="s">
        <v>644</v>
      </c>
      <c r="I163" s="4" t="s">
        <v>645</v>
      </c>
      <c r="J163" s="1" t="d">
        <v>2025-09-22</v>
      </c>
      <c r="K163" s="9" t="s">
        <v>20</v>
      </c>
      <c r="L163" s="5">
        <v>342.71</v>
      </c>
      <c r="M163" s="1" t="d">
        <v>2025-12-09</v>
      </c>
      <c r="N163" s="5">
        <v>-8.34</v>
      </c>
      <c r="O163" s="9" t="s">
        <v>487</v>
      </c>
    </row>
    <row r="164" spans="1:15" ht="12" x14ac:dyDescent="0.15">
      <c r="A164" s="1" t="d">
        <v>2023-06-29</v>
      </c>
      <c r="B164" s="3" t="s">
        <v>646</v>
      </c>
      <c r="C164" s="3" t="s">
        <v>16</v>
      </c>
      <c r="D164" s="4" t="s">
        <v>17</v>
      </c>
      <c r="E164" s="4" t="s">
        <v>18</v>
      </c>
      <c r="F164" s="5">
        <v>311.79000000000002</v>
      </c>
      <c r="G164" s="3" t="s">
        <v>647</v>
      </c>
      <c r="H164" s="3" t="s">
        <v>648</v>
      </c>
      <c r="I164" s="4" t="s">
        <v>649</v>
      </c>
      <c r="J164" s="1" t="d">
        <v>2023-06-29</v>
      </c>
      <c r="K164" s="9" t="s">
        <v>20</v>
      </c>
      <c r="L164" s="5">
        <v>342.31</v>
      </c>
      <c r="M164" s="1" t="d">
        <v>2023-10-05</v>
      </c>
      <c r="N164" s="6" t="s">
        <v>16</v>
      </c>
      <c r="O164" s="9" t="s">
        <v>101</v>
      </c>
    </row>
    <row r="165" spans="1:15" ht="12" x14ac:dyDescent="0.15">
      <c r="A165" s="1" t="d">
        <v>2022-05-19</v>
      </c>
      <c r="B165" s="3" t="s">
        <v>650</v>
      </c>
      <c r="C165" s="3" t="s">
        <v>16</v>
      </c>
      <c r="D165" s="4" t="s">
        <v>17</v>
      </c>
      <c r="E165" s="4" t="s">
        <v>18</v>
      </c>
      <c r="F165" s="5">
        <v>74</v>
      </c>
      <c r="G165" s="3" t="s">
        <v>145</v>
      </c>
      <c r="H165" s="3" t="s">
        <v>16</v>
      </c>
      <c r="I165" s="4" t="s">
        <v>651</v>
      </c>
      <c r="J165" s="1" t="d">
        <v>2022-05-19</v>
      </c>
      <c r="K165" s="9" t="s">
        <v>20</v>
      </c>
      <c r="L165" s="5">
        <v>341.17</v>
      </c>
      <c r="M165" s="1" t="d">
        <v>2022-08-02</v>
      </c>
      <c r="N165" s="6" t="s">
        <v>16</v>
      </c>
      <c r="O165" s="9" t="s">
        <v>101</v>
      </c>
    </row>
    <row r="166" spans="1:15" ht="24" x14ac:dyDescent="0.15">
      <c r="A166" s="1" t="d">
        <v>2025-10-13</v>
      </c>
      <c r="B166" s="3" t="s">
        <v>652</v>
      </c>
      <c r="C166" s="3" t="s">
        <v>653</v>
      </c>
      <c r="D166" s="4" t="s">
        <v>17</v>
      </c>
      <c r="E166" s="4" t="s">
        <v>18</v>
      </c>
      <c r="F166" s="5">
        <v>773.79</v>
      </c>
      <c r="G166" s="3" t="s">
        <v>654</v>
      </c>
      <c r="H166" s="3" t="s">
        <v>16</v>
      </c>
      <c r="I166" s="4" t="s">
        <v>655</v>
      </c>
      <c r="J166" s="1" t="d">
        <v>2025-10-13</v>
      </c>
      <c r="K166" s="9" t="s">
        <v>20</v>
      </c>
      <c r="L166" s="5">
        <v>336.75</v>
      </c>
      <c r="M166" s="1" t="d">
        <v>2026-01-02</v>
      </c>
      <c r="N166" s="10">
        <v>-39.1</v>
      </c>
      <c r="O166" s="9" t="s">
        <v>656</v>
      </c>
    </row>
    <row r="167" spans="1:15" ht="24" x14ac:dyDescent="0.15">
      <c r="A167" s="1" t="d">
        <v>2023-01-20</v>
      </c>
      <c r="B167" s="3" t="s">
        <v>567</v>
      </c>
      <c r="C167" s="3" t="s">
        <v>568</v>
      </c>
      <c r="D167" s="4" t="s">
        <v>17</v>
      </c>
      <c r="E167" s="4" t="s">
        <v>18</v>
      </c>
      <c r="F167" s="6" t="s">
        <v>16</v>
      </c>
      <c r="G167" s="3" t="s">
        <v>657</v>
      </c>
      <c r="H167" s="3" t="s">
        <v>16</v>
      </c>
      <c r="I167" s="4" t="s">
        <v>658</v>
      </c>
      <c r="J167" s="1" t="d">
        <v>2023-01-20</v>
      </c>
      <c r="K167" s="9" t="s">
        <v>20</v>
      </c>
      <c r="L167" s="5">
        <v>335.26</v>
      </c>
      <c r="M167" s="1" t="d">
        <v>2023-01-20</v>
      </c>
      <c r="N167" s="10">
        <v>31.3</v>
      </c>
      <c r="O167" s="9" t="s">
        <v>45</v>
      </c>
    </row>
    <row r="168" spans="1:15" ht="24" x14ac:dyDescent="0.15">
      <c r="A168" s="1" t="d">
        <v>2025-03-31</v>
      </c>
      <c r="B168" s="3" t="s">
        <v>659</v>
      </c>
      <c r="C168" s="3" t="s">
        <v>16</v>
      </c>
      <c r="D168" s="4" t="s">
        <v>17</v>
      </c>
      <c r="E168" s="4" t="s">
        <v>18</v>
      </c>
      <c r="F168" s="5">
        <v>5944.66</v>
      </c>
      <c r="G168" s="3" t="s">
        <v>660</v>
      </c>
      <c r="H168" s="3" t="s">
        <v>173</v>
      </c>
      <c r="I168" s="4" t="s">
        <v>661</v>
      </c>
      <c r="J168" s="1" t="d">
        <v>2025-03-31</v>
      </c>
      <c r="K168" s="9" t="s">
        <v>20</v>
      </c>
      <c r="L168" s="5">
        <v>332.85</v>
      </c>
      <c r="M168" s="1" t="d">
        <v>2025-03-31</v>
      </c>
      <c r="N168" s="10">
        <v>279</v>
      </c>
      <c r="O168" s="9" t="s">
        <v>662</v>
      </c>
    </row>
    <row r="169" spans="1:15" ht="12" x14ac:dyDescent="0.15">
      <c r="A169" s="1" t="d">
        <v>2025-09-04</v>
      </c>
      <c r="B169" s="3" t="s">
        <v>663</v>
      </c>
      <c r="C169" s="3" t="s">
        <v>16</v>
      </c>
      <c r="D169" s="4" t="s">
        <v>17</v>
      </c>
      <c r="E169" s="4" t="s">
        <v>18</v>
      </c>
      <c r="F169" s="5">
        <v>3142.82</v>
      </c>
      <c r="G169" s="3" t="s">
        <v>664</v>
      </c>
      <c r="H169" s="3" t="s">
        <v>665</v>
      </c>
      <c r="I169" s="4" t="s">
        <v>666</v>
      </c>
      <c r="J169" s="1" t="d">
        <v>2025-09-04</v>
      </c>
      <c r="K169" s="9" t="s">
        <v>20</v>
      </c>
      <c r="L169" s="5">
        <v>325.92</v>
      </c>
      <c r="M169" s="1" t="d">
        <v>2026-02-23</v>
      </c>
      <c r="N169" s="6" t="s">
        <v>16</v>
      </c>
      <c r="O169" s="9" t="s">
        <v>610</v>
      </c>
    </row>
    <row r="170" spans="1:15" ht="24" x14ac:dyDescent="0.15">
      <c r="A170" s="1" t="d">
        <v>2025-08-11</v>
      </c>
      <c r="B170" s="3" t="s">
        <v>667</v>
      </c>
      <c r="C170" s="3" t="s">
        <v>16</v>
      </c>
      <c r="D170" s="4" t="s">
        <v>17</v>
      </c>
      <c r="E170" s="4" t="s">
        <v>18</v>
      </c>
      <c r="F170" s="5">
        <v>2109.89</v>
      </c>
      <c r="G170" s="3" t="s">
        <v>668</v>
      </c>
      <c r="H170" s="3" t="s">
        <v>16</v>
      </c>
      <c r="I170" s="4" t="s">
        <v>669</v>
      </c>
      <c r="J170" s="1" t="d">
        <v>2025-08-11</v>
      </c>
      <c r="K170" s="9" t="s">
        <v>20</v>
      </c>
      <c r="L170" s="5">
        <v>325.89</v>
      </c>
      <c r="M170" s="1" t="d">
        <v>2025-10-24</v>
      </c>
      <c r="N170" s="10">
        <v>54.1</v>
      </c>
      <c r="O170" s="9" t="s">
        <v>93</v>
      </c>
    </row>
    <row r="171" spans="1:15" ht="12" x14ac:dyDescent="0.15">
      <c r="A171" s="1" t="d">
        <v>2024-06-19</v>
      </c>
      <c r="B171" s="3" t="s">
        <v>567</v>
      </c>
      <c r="C171" s="3" t="s">
        <v>568</v>
      </c>
      <c r="D171" s="4" t="s">
        <v>17</v>
      </c>
      <c r="E171" s="4" t="s">
        <v>18</v>
      </c>
      <c r="F171" s="6" t="s">
        <v>16</v>
      </c>
      <c r="G171" s="3" t="s">
        <v>16</v>
      </c>
      <c r="H171" s="3" t="s">
        <v>670</v>
      </c>
      <c r="I171" s="4" t="s">
        <v>671</v>
      </c>
      <c r="J171" s="1" t="d">
        <v>2024-06-19</v>
      </c>
      <c r="K171" s="9" t="s">
        <v>20</v>
      </c>
      <c r="L171" s="5">
        <v>324.49</v>
      </c>
      <c r="M171" s="1" t="d">
        <v>2024-06-19</v>
      </c>
      <c r="N171" s="10">
        <v>31.3</v>
      </c>
      <c r="O171" s="9" t="s">
        <v>31</v>
      </c>
    </row>
    <row r="172" spans="1:15" ht="24" x14ac:dyDescent="0.15">
      <c r="A172" s="1" t="d">
        <v>2022-03-07</v>
      </c>
      <c r="B172" s="3" t="s">
        <v>672</v>
      </c>
      <c r="C172" s="3" t="s">
        <v>16</v>
      </c>
      <c r="D172" s="4" t="s">
        <v>17</v>
      </c>
      <c r="E172" s="4" t="s">
        <v>18</v>
      </c>
      <c r="F172" s="5">
        <v>318.10000000000002</v>
      </c>
      <c r="G172" s="3" t="s">
        <v>673</v>
      </c>
      <c r="H172" s="3" t="s">
        <v>674</v>
      </c>
      <c r="I172" s="4" t="s">
        <v>675</v>
      </c>
      <c r="J172" s="1" t="d">
        <v>2022-03-07</v>
      </c>
      <c r="K172" s="9" t="s">
        <v>20</v>
      </c>
      <c r="L172" s="5">
        <v>323.42</v>
      </c>
      <c r="M172" s="1" t="d">
        <v>2022-06-15</v>
      </c>
      <c r="N172" s="6" t="s">
        <v>16</v>
      </c>
      <c r="O172" s="9" t="s">
        <v>676</v>
      </c>
    </row>
    <row r="173" spans="1:15" ht="24" x14ac:dyDescent="0.15">
      <c r="A173" s="1" t="d">
        <v>2023-01-17</v>
      </c>
      <c r="B173" s="3" t="s">
        <v>677</v>
      </c>
      <c r="C173" s="3" t="s">
        <v>16</v>
      </c>
      <c r="D173" s="4" t="s">
        <v>17</v>
      </c>
      <c r="E173" s="4" t="s">
        <v>18</v>
      </c>
      <c r="F173" s="5">
        <v>975</v>
      </c>
      <c r="G173" s="3" t="s">
        <v>121</v>
      </c>
      <c r="H173" s="3" t="s">
        <v>678</v>
      </c>
      <c r="I173" s="4" t="s">
        <v>679</v>
      </c>
      <c r="J173" s="1" t="d">
        <v>2023-01-17</v>
      </c>
      <c r="K173" s="9" t="s">
        <v>20</v>
      </c>
      <c r="L173" s="5">
        <v>323</v>
      </c>
      <c r="M173" s="1" t="d">
        <v>2023-05-02</v>
      </c>
      <c r="N173" s="6" t="s">
        <v>16</v>
      </c>
      <c r="O173" s="9" t="s">
        <v>680</v>
      </c>
    </row>
    <row r="174" spans="1:15" ht="12" x14ac:dyDescent="0.15">
      <c r="A174" s="1" t="d">
        <v>2023-07-25</v>
      </c>
      <c r="B174" s="3" t="s">
        <v>681</v>
      </c>
      <c r="C174" s="3" t="s">
        <v>16</v>
      </c>
      <c r="D174" s="4" t="s">
        <v>17</v>
      </c>
      <c r="E174" s="4" t="s">
        <v>18</v>
      </c>
      <c r="F174" s="5">
        <v>372.03</v>
      </c>
      <c r="G174" s="3" t="s">
        <v>682</v>
      </c>
      <c r="H174" s="3" t="s">
        <v>16</v>
      </c>
      <c r="I174" s="4" t="s">
        <v>683</v>
      </c>
      <c r="J174" s="1" t="d">
        <v>2023-07-25</v>
      </c>
      <c r="K174" s="9" t="s">
        <v>20</v>
      </c>
      <c r="L174" s="5">
        <v>314.85000000000002</v>
      </c>
      <c r="M174" s="1" t="d">
        <v>2023-12-05</v>
      </c>
      <c r="N174" s="10">
        <v>22.2</v>
      </c>
      <c r="O174" s="9" t="s">
        <v>684</v>
      </c>
    </row>
    <row r="175" spans="1:15" ht="24" x14ac:dyDescent="0.15">
      <c r="A175" s="1" t="d">
        <v>2024-03-29</v>
      </c>
      <c r="B175" s="3" t="s">
        <v>685</v>
      </c>
      <c r="C175" s="3" t="s">
        <v>16</v>
      </c>
      <c r="D175" s="4" t="s">
        <v>17</v>
      </c>
      <c r="E175" s="4" t="s">
        <v>18</v>
      </c>
      <c r="F175" s="6" t="s">
        <v>16</v>
      </c>
      <c r="G175" s="3" t="s">
        <v>686</v>
      </c>
      <c r="H175" s="3" t="s">
        <v>16</v>
      </c>
      <c r="I175" s="4" t="s">
        <v>687</v>
      </c>
      <c r="J175" s="1" t="d">
        <v>2024-03-29</v>
      </c>
      <c r="K175" s="9" t="s">
        <v>20</v>
      </c>
      <c r="L175" s="5">
        <v>314.39999999999998</v>
      </c>
      <c r="M175" s="1" t="d">
        <v>2024-03-29</v>
      </c>
      <c r="N175" s="10">
        <v>-18.5</v>
      </c>
      <c r="O175" s="9" t="s">
        <v>96</v>
      </c>
    </row>
    <row r="176" spans="1:15" ht="36" x14ac:dyDescent="0.15">
      <c r="A176" s="1" t="d">
        <v>2025-07-03</v>
      </c>
      <c r="B176" s="3" t="s">
        <v>688</v>
      </c>
      <c r="C176" s="3" t="s">
        <v>16</v>
      </c>
      <c r="D176" s="4" t="s">
        <v>17</v>
      </c>
      <c r="E176" s="4" t="s">
        <v>18</v>
      </c>
      <c r="F176" s="5">
        <v>1979.89</v>
      </c>
      <c r="G176" s="3" t="s">
        <v>403</v>
      </c>
      <c r="H176" s="3" t="s">
        <v>689</v>
      </c>
      <c r="I176" s="4" t="s">
        <v>690</v>
      </c>
      <c r="J176" s="1" t="d">
        <v>2025-07-03</v>
      </c>
      <c r="K176" s="9" t="s">
        <v>20</v>
      </c>
      <c r="L176" s="5">
        <v>314.33</v>
      </c>
      <c r="M176" s="1" t="d">
        <v>2025-09-12</v>
      </c>
      <c r="N176" s="10">
        <v>-12.3</v>
      </c>
      <c r="O176" s="9" t="s">
        <v>93</v>
      </c>
    </row>
    <row r="177" spans="1:15" ht="12" x14ac:dyDescent="0.15">
      <c r="A177" s="1" t="d">
        <v>2024-12-11</v>
      </c>
      <c r="B177" s="3" t="s">
        <v>691</v>
      </c>
      <c r="C177" s="3" t="s">
        <v>16</v>
      </c>
      <c r="D177" s="4" t="s">
        <v>17</v>
      </c>
      <c r="E177" s="4" t="s">
        <v>18</v>
      </c>
      <c r="F177" s="5">
        <v>343.02</v>
      </c>
      <c r="G177" s="3" t="s">
        <v>692</v>
      </c>
      <c r="H177" s="3" t="s">
        <v>16</v>
      </c>
      <c r="I177" s="4" t="s">
        <v>693</v>
      </c>
      <c r="J177" s="1" t="d">
        <v>2024-12-11</v>
      </c>
      <c r="K177" s="9" t="s">
        <v>20</v>
      </c>
      <c r="L177" s="5">
        <v>312</v>
      </c>
      <c r="M177" s="1" t="d">
        <v>2024-12-13</v>
      </c>
      <c r="N177" s="6" t="s">
        <v>16</v>
      </c>
      <c r="O177" s="9" t="s">
        <v>101</v>
      </c>
    </row>
    <row r="178" spans="1:15" ht="96" x14ac:dyDescent="0.15">
      <c r="A178" s="1" t="d">
        <v>2023-01-09</v>
      </c>
      <c r="B178" s="3" t="s">
        <v>694</v>
      </c>
      <c r="C178" s="3" t="s">
        <v>16</v>
      </c>
      <c r="D178" s="4" t="s">
        <v>17</v>
      </c>
      <c r="E178" s="4" t="s">
        <v>18</v>
      </c>
      <c r="F178" s="5">
        <v>2632.82</v>
      </c>
      <c r="G178" s="3" t="s">
        <v>327</v>
      </c>
      <c r="H178" s="3" t="s">
        <v>695</v>
      </c>
      <c r="I178" s="4" t="s">
        <v>696</v>
      </c>
      <c r="J178" s="1" t="d">
        <v>2023-01-09</v>
      </c>
      <c r="K178" s="9" t="s">
        <v>20</v>
      </c>
      <c r="L178" s="5">
        <v>310.08</v>
      </c>
      <c r="M178" s="1" t="d">
        <v>2023-03-30</v>
      </c>
      <c r="N178" s="6" t="s">
        <v>16</v>
      </c>
      <c r="O178" s="9" t="s">
        <v>487</v>
      </c>
    </row>
    <row r="179" spans="1:15" ht="24" x14ac:dyDescent="0.15">
      <c r="A179" s="1" t="d">
        <v>2022-08-03</v>
      </c>
      <c r="B179" s="3" t="s">
        <v>697</v>
      </c>
      <c r="C179" s="3" t="s">
        <v>16</v>
      </c>
      <c r="D179" s="4" t="s">
        <v>17</v>
      </c>
      <c r="E179" s="4" t="s">
        <v>18</v>
      </c>
      <c r="F179" s="5">
        <v>3006.56</v>
      </c>
      <c r="G179" s="3" t="s">
        <v>403</v>
      </c>
      <c r="H179" s="3" t="s">
        <v>698</v>
      </c>
      <c r="I179" s="4" t="s">
        <v>699</v>
      </c>
      <c r="J179" s="1" t="d">
        <v>2022-08-03</v>
      </c>
      <c r="K179" s="9" t="s">
        <v>20</v>
      </c>
      <c r="L179" s="5">
        <v>308.32</v>
      </c>
      <c r="M179" s="1" t="d">
        <v>2022-10-18</v>
      </c>
      <c r="N179" s="6" t="s">
        <v>16</v>
      </c>
      <c r="O179" s="9" t="s">
        <v>93</v>
      </c>
    </row>
    <row r="180" spans="1:15" ht="36" x14ac:dyDescent="0.15">
      <c r="A180" s="1" t="d">
        <v>2025-03-01</v>
      </c>
      <c r="B180" s="3" t="s">
        <v>700</v>
      </c>
      <c r="C180" s="3" t="s">
        <v>16</v>
      </c>
      <c r="D180" s="4" t="s">
        <v>17</v>
      </c>
      <c r="E180" s="4" t="s">
        <v>18</v>
      </c>
      <c r="F180" s="5">
        <v>214.04</v>
      </c>
      <c r="G180" s="3" t="s">
        <v>701</v>
      </c>
      <c r="H180" s="3" t="s">
        <v>702</v>
      </c>
      <c r="I180" s="4" t="s">
        <v>703</v>
      </c>
      <c r="J180" s="1" t="d">
        <v>2025-03-01</v>
      </c>
      <c r="K180" s="9" t="s">
        <v>20</v>
      </c>
      <c r="L180" s="5">
        <v>308</v>
      </c>
      <c r="M180" s="1" t="d">
        <v>2025-11-19</v>
      </c>
      <c r="N180" s="10">
        <v>-23.1</v>
      </c>
      <c r="O180" s="9" t="s">
        <v>704</v>
      </c>
    </row>
    <row r="181" spans="1:15" ht="24" x14ac:dyDescent="0.15">
      <c r="A181" s="1" t="d">
        <v>2025-10-27</v>
      </c>
      <c r="B181" s="3" t="s">
        <v>567</v>
      </c>
      <c r="C181" s="3" t="s">
        <v>568</v>
      </c>
      <c r="D181" s="4" t="s">
        <v>17</v>
      </c>
      <c r="E181" s="4" t="s">
        <v>18</v>
      </c>
      <c r="F181" s="6" t="s">
        <v>16</v>
      </c>
      <c r="G181" s="3" t="s">
        <v>657</v>
      </c>
      <c r="H181" s="3" t="s">
        <v>16</v>
      </c>
      <c r="I181" s="4" t="s">
        <v>705</v>
      </c>
      <c r="J181" s="1" t="d">
        <v>2025-10-27</v>
      </c>
      <c r="K181" s="9" t="s">
        <v>20</v>
      </c>
      <c r="L181" s="5">
        <v>307.89999999999998</v>
      </c>
      <c r="M181" s="1" t="d">
        <v>2025-10-27</v>
      </c>
      <c r="N181" s="10">
        <v>31.3</v>
      </c>
      <c r="O181" s="9" t="s">
        <v>45</v>
      </c>
    </row>
    <row r="182" spans="1:15" ht="24" x14ac:dyDescent="0.15">
      <c r="A182" s="1" t="d">
        <v>2025-11-07</v>
      </c>
      <c r="B182" s="3" t="s">
        <v>706</v>
      </c>
      <c r="C182" s="3" t="s">
        <v>16</v>
      </c>
      <c r="D182" s="4" t="s">
        <v>17</v>
      </c>
      <c r="E182" s="4" t="s">
        <v>18</v>
      </c>
      <c r="F182" s="5">
        <v>900.9</v>
      </c>
      <c r="G182" s="3" t="s">
        <v>296</v>
      </c>
      <c r="H182" s="3" t="s">
        <v>707</v>
      </c>
      <c r="I182" s="4" t="s">
        <v>708</v>
      </c>
      <c r="J182" s="1" t="d">
        <v>2025-11-07</v>
      </c>
      <c r="K182" s="9" t="s">
        <v>20</v>
      </c>
      <c r="L182" s="5">
        <v>306.52999999999997</v>
      </c>
      <c r="M182" s="1" t="d">
        <v>2026-03-26</v>
      </c>
      <c r="N182" s="10">
        <v>125.7</v>
      </c>
      <c r="O182" s="9" t="s">
        <v>61</v>
      </c>
    </row>
    <row r="183" spans="1:15" ht="24" x14ac:dyDescent="0.15">
      <c r="A183" s="1" t="d">
        <v>2023-08-09</v>
      </c>
      <c r="B183" s="3" t="s">
        <v>709</v>
      </c>
      <c r="C183" s="3" t="s">
        <v>16</v>
      </c>
      <c r="D183" s="4" t="s">
        <v>17</v>
      </c>
      <c r="E183" s="4" t="s">
        <v>18</v>
      </c>
      <c r="F183" s="5">
        <v>201.14</v>
      </c>
      <c r="G183" s="3" t="s">
        <v>710</v>
      </c>
      <c r="H183" s="3" t="s">
        <v>711</v>
      </c>
      <c r="I183" s="4" t="s">
        <v>712</v>
      </c>
      <c r="J183" s="1" t="d">
        <v>2023-08-09</v>
      </c>
      <c r="K183" s="9" t="s">
        <v>20</v>
      </c>
      <c r="L183" s="5">
        <v>305.69</v>
      </c>
      <c r="M183" s="1" t="d">
        <v>2023-12-13</v>
      </c>
      <c r="N183" s="6" t="s">
        <v>16</v>
      </c>
      <c r="O183" s="9" t="s">
        <v>427</v>
      </c>
    </row>
    <row r="184" spans="1:15" ht="12" x14ac:dyDescent="0.15">
      <c r="A184" s="1" t="d">
        <v>2022-12-27</v>
      </c>
      <c r="B184" s="3" t="s">
        <v>713</v>
      </c>
      <c r="C184" s="3" t="s">
        <v>16</v>
      </c>
      <c r="D184" s="4" t="s">
        <v>17</v>
      </c>
      <c r="E184" s="4" t="s">
        <v>18</v>
      </c>
      <c r="F184" s="6" t="s">
        <v>16</v>
      </c>
      <c r="G184" s="3" t="s">
        <v>714</v>
      </c>
      <c r="H184" s="3" t="s">
        <v>715</v>
      </c>
      <c r="I184" s="4" t="s">
        <v>716</v>
      </c>
      <c r="J184" s="1" t="d">
        <v>2022-12-27</v>
      </c>
      <c r="K184" s="9" t="s">
        <v>20</v>
      </c>
      <c r="L184" s="5">
        <v>301.48</v>
      </c>
      <c r="M184" s="1" t="d">
        <v>2022-12-27</v>
      </c>
      <c r="N184" s="6" t="s">
        <v>16</v>
      </c>
      <c r="O184" s="9" t="s">
        <v>139</v>
      </c>
    </row>
    <row r="185" spans="1:15" ht="48" x14ac:dyDescent="0.15">
      <c r="A185" s="1" t="d">
        <v>2023-02-09</v>
      </c>
      <c r="B185" s="3" t="s">
        <v>717</v>
      </c>
      <c r="C185" s="3" t="s">
        <v>16</v>
      </c>
      <c r="D185" s="4" t="s">
        <v>17</v>
      </c>
      <c r="E185" s="4" t="s">
        <v>18</v>
      </c>
      <c r="F185" s="5">
        <v>1699.56</v>
      </c>
      <c r="G185" s="3" t="s">
        <v>374</v>
      </c>
      <c r="H185" s="3" t="s">
        <v>718</v>
      </c>
      <c r="I185" s="4" t="s">
        <v>719</v>
      </c>
      <c r="J185" s="1" t="d">
        <v>2023-02-09</v>
      </c>
      <c r="K185" s="9" t="s">
        <v>20</v>
      </c>
      <c r="L185" s="5">
        <v>300.67</v>
      </c>
      <c r="M185" s="1" t="d">
        <v>2023-05-07</v>
      </c>
      <c r="N185" s="6" t="s">
        <v>16</v>
      </c>
      <c r="O185" s="9" t="s">
        <v>93</v>
      </c>
    </row>
    <row r="186" spans="1:15" ht="144" x14ac:dyDescent="0.15">
      <c r="A186" s="1" t="d">
        <v>2025-08-29</v>
      </c>
      <c r="B186" s="3" t="s">
        <v>720</v>
      </c>
      <c r="C186" s="3" t="s">
        <v>721</v>
      </c>
      <c r="D186" s="4" t="s">
        <v>17</v>
      </c>
      <c r="E186" s="4" t="s">
        <v>18</v>
      </c>
      <c r="F186" s="5">
        <v>36.53</v>
      </c>
      <c r="G186" s="3" t="s">
        <v>722</v>
      </c>
      <c r="H186" s="3" t="s">
        <v>16</v>
      </c>
      <c r="I186" s="4" t="s">
        <v>723</v>
      </c>
      <c r="J186" s="1" t="d">
        <v>2025-08-29</v>
      </c>
      <c r="K186" s="9" t="s">
        <v>20</v>
      </c>
      <c r="L186" s="5">
        <v>297.43</v>
      </c>
      <c r="M186" s="1" t="d">
        <v>2025-08-29</v>
      </c>
      <c r="N186" s="10">
        <v>30.9</v>
      </c>
      <c r="O186" s="9" t="s">
        <v>50</v>
      </c>
    </row>
    <row r="187" spans="1:15" ht="12" x14ac:dyDescent="0.15">
      <c r="A187" s="1" t="d">
        <v>2021-09-20</v>
      </c>
      <c r="B187" s="3" t="s">
        <v>724</v>
      </c>
      <c r="C187" s="3" t="s">
        <v>16</v>
      </c>
      <c r="D187" s="4" t="s">
        <v>17</v>
      </c>
      <c r="E187" s="4" t="s">
        <v>18</v>
      </c>
      <c r="F187" s="6" t="s">
        <v>16</v>
      </c>
      <c r="G187" s="3" t="s">
        <v>725</v>
      </c>
      <c r="H187" s="3" t="s">
        <v>726</v>
      </c>
      <c r="I187" s="4" t="s">
        <v>727</v>
      </c>
      <c r="J187" s="1" t="d">
        <v>2021-09-20</v>
      </c>
      <c r="K187" s="9" t="s">
        <v>20</v>
      </c>
      <c r="L187" s="5">
        <v>293.39</v>
      </c>
      <c r="M187" s="1" t="d">
        <v>2021-09-20</v>
      </c>
      <c r="N187" s="6" t="s">
        <v>16</v>
      </c>
      <c r="O187" s="9" t="s">
        <v>139</v>
      </c>
    </row>
    <row r="188" spans="1:15" ht="48" x14ac:dyDescent="0.15">
      <c r="A188" s="1" t="d">
        <v>2023-04-04</v>
      </c>
      <c r="B188" s="3" t="s">
        <v>728</v>
      </c>
      <c r="C188" s="3" t="s">
        <v>16</v>
      </c>
      <c r="D188" s="4" t="s">
        <v>17</v>
      </c>
      <c r="E188" s="4" t="s">
        <v>18</v>
      </c>
      <c r="F188" s="5">
        <v>53.5</v>
      </c>
      <c r="G188" s="3" t="s">
        <v>516</v>
      </c>
      <c r="H188" s="3" t="s">
        <v>16</v>
      </c>
      <c r="I188" s="4" t="s">
        <v>729</v>
      </c>
      <c r="J188" s="1" t="d">
        <v>2023-04-04</v>
      </c>
      <c r="K188" s="9" t="s">
        <v>20</v>
      </c>
      <c r="L188" s="5">
        <v>291.52999999999997</v>
      </c>
      <c r="M188" s="1" t="d">
        <v>2023-04-28</v>
      </c>
      <c r="N188" s="6" t="s">
        <v>16</v>
      </c>
      <c r="O188" s="9" t="s">
        <v>241</v>
      </c>
    </row>
    <row r="189" spans="1:15" ht="60" x14ac:dyDescent="0.15">
      <c r="A189" s="1" t="d">
        <v>2022-09-19</v>
      </c>
      <c r="B189" s="3" t="s">
        <v>730</v>
      </c>
      <c r="C189" s="3" t="s">
        <v>16</v>
      </c>
      <c r="D189" s="4" t="s">
        <v>17</v>
      </c>
      <c r="E189" s="4" t="s">
        <v>18</v>
      </c>
      <c r="F189" s="5">
        <v>3451.22</v>
      </c>
      <c r="G189" s="3" t="s">
        <v>327</v>
      </c>
      <c r="H189" s="3" t="s">
        <v>731</v>
      </c>
      <c r="I189" s="4" t="s">
        <v>732</v>
      </c>
      <c r="J189" s="1" t="d">
        <v>2022-09-19</v>
      </c>
      <c r="K189" s="9" t="s">
        <v>20</v>
      </c>
      <c r="L189" s="5">
        <v>289.19</v>
      </c>
      <c r="M189" s="1" t="d">
        <v>2023-02-01</v>
      </c>
      <c r="N189" s="6" t="s">
        <v>16</v>
      </c>
      <c r="O189" s="9" t="s">
        <v>733</v>
      </c>
    </row>
    <row r="190" spans="1:15" ht="12" x14ac:dyDescent="0.15">
      <c r="A190" s="1" t="d">
        <v>2024-12-23</v>
      </c>
      <c r="B190" s="3" t="s">
        <v>734</v>
      </c>
      <c r="C190" s="3" t="s">
        <v>735</v>
      </c>
      <c r="D190" s="4" t="s">
        <v>17</v>
      </c>
      <c r="E190" s="4" t="s">
        <v>18</v>
      </c>
      <c r="F190" s="5">
        <v>444.57</v>
      </c>
      <c r="G190" s="3" t="s">
        <v>736</v>
      </c>
      <c r="H190" s="3" t="s">
        <v>16</v>
      </c>
      <c r="I190" s="4" t="s">
        <v>737</v>
      </c>
      <c r="J190" s="1" t="d">
        <v>2024-12-23</v>
      </c>
      <c r="K190" s="9" t="s">
        <v>20</v>
      </c>
      <c r="L190" s="5">
        <v>288.89999999999998</v>
      </c>
      <c r="M190" s="1" t="d">
        <v>2025-04-10</v>
      </c>
      <c r="N190" s="10">
        <v>83.5</v>
      </c>
      <c r="O190" s="9" t="s">
        <v>738</v>
      </c>
    </row>
    <row r="191" spans="1:15" ht="36" x14ac:dyDescent="0.15">
      <c r="A191" s="1" t="d">
        <v>2024-02-14</v>
      </c>
      <c r="B191" s="3" t="s">
        <v>739</v>
      </c>
      <c r="C191" s="3" t="s">
        <v>16</v>
      </c>
      <c r="D191" s="4" t="s">
        <v>17</v>
      </c>
      <c r="E191" s="4" t="s">
        <v>18</v>
      </c>
      <c r="F191" s="5">
        <v>5871.78</v>
      </c>
      <c r="G191" s="3" t="s">
        <v>740</v>
      </c>
      <c r="H191" s="3" t="s">
        <v>741</v>
      </c>
      <c r="I191" s="4" t="s">
        <v>742</v>
      </c>
      <c r="J191" s="1" t="d">
        <v>2024-02-14</v>
      </c>
      <c r="K191" s="9" t="s">
        <v>20</v>
      </c>
      <c r="L191" s="5">
        <v>282.3</v>
      </c>
      <c r="M191" s="1" t="d">
        <v>2024-08-01</v>
      </c>
      <c r="N191" s="10">
        <v>63.3</v>
      </c>
      <c r="O191" s="9" t="s">
        <v>101</v>
      </c>
    </row>
    <row r="192" spans="1:15" ht="12" x14ac:dyDescent="0.15">
      <c r="A192" s="1" t="d">
        <v>2022-03-11</v>
      </c>
      <c r="B192" s="3" t="s">
        <v>743</v>
      </c>
      <c r="C192" s="3" t="s">
        <v>16</v>
      </c>
      <c r="D192" s="4" t="s">
        <v>17</v>
      </c>
      <c r="E192" s="4" t="s">
        <v>18</v>
      </c>
      <c r="F192" s="5">
        <v>316.10000000000002</v>
      </c>
      <c r="G192" s="3" t="s">
        <v>744</v>
      </c>
      <c r="H192" s="3" t="s">
        <v>745</v>
      </c>
      <c r="I192" s="4" t="s">
        <v>746</v>
      </c>
      <c r="J192" s="1" t="d">
        <v>2022-03-11</v>
      </c>
      <c r="K192" s="9" t="s">
        <v>20</v>
      </c>
      <c r="L192" s="5">
        <v>279.70999999999998</v>
      </c>
      <c r="M192" s="1" t="d">
        <v>2022-05-31</v>
      </c>
      <c r="N192" s="6" t="s">
        <v>16</v>
      </c>
      <c r="O192" s="9" t="s">
        <v>110</v>
      </c>
    </row>
    <row r="193" spans="1:15" ht="24" x14ac:dyDescent="0.15">
      <c r="A193" s="1" t="d">
        <v>2022-03-11</v>
      </c>
      <c r="B193" s="3" t="s">
        <v>743</v>
      </c>
      <c r="C193" s="3" t="s">
        <v>16</v>
      </c>
      <c r="D193" s="4" t="s">
        <v>17</v>
      </c>
      <c r="E193" s="4" t="s">
        <v>18</v>
      </c>
      <c r="F193" s="5">
        <v>99.56</v>
      </c>
      <c r="G193" s="3" t="s">
        <v>744</v>
      </c>
      <c r="H193" s="3" t="s">
        <v>16</v>
      </c>
      <c r="I193" s="4" t="s">
        <v>747</v>
      </c>
      <c r="J193" s="1" t="d">
        <v>2022-03-11</v>
      </c>
      <c r="K193" s="9" t="s">
        <v>20</v>
      </c>
      <c r="L193" s="5">
        <v>279.70999999999998</v>
      </c>
      <c r="M193" s="1" t="d">
        <v>2022-07-13</v>
      </c>
      <c r="N193" s="6" t="s">
        <v>16</v>
      </c>
      <c r="O193" s="9" t="s">
        <v>748</v>
      </c>
    </row>
    <row r="194" spans="1:15" ht="12" x14ac:dyDescent="0.15">
      <c r="A194" s="1" t="d">
        <v>2021-09-13</v>
      </c>
      <c r="B194" s="3" t="s">
        <v>749</v>
      </c>
      <c r="C194" s="3" t="s">
        <v>16</v>
      </c>
      <c r="D194" s="4" t="s">
        <v>17</v>
      </c>
      <c r="E194" s="4" t="s">
        <v>18</v>
      </c>
      <c r="F194" s="5">
        <v>934.51</v>
      </c>
      <c r="G194" s="3" t="s">
        <v>440</v>
      </c>
      <c r="H194" s="3" t="s">
        <v>750</v>
      </c>
      <c r="I194" s="4" t="s">
        <v>751</v>
      </c>
      <c r="J194" s="1" t="d">
        <v>2021-09-13</v>
      </c>
      <c r="K194" s="9" t="s">
        <v>20</v>
      </c>
      <c r="L194" s="5">
        <v>279.39999999999998</v>
      </c>
      <c r="M194" s="1" t="d">
        <v>2021-12-15</v>
      </c>
      <c r="N194" s="6" t="s">
        <v>16</v>
      </c>
      <c r="O194" s="9" t="s">
        <v>340</v>
      </c>
    </row>
    <row r="195" spans="1:15" ht="24" x14ac:dyDescent="0.15">
      <c r="A195" s="1" t="d">
        <v>2022-08-24</v>
      </c>
      <c r="B195" s="3" t="s">
        <v>752</v>
      </c>
      <c r="C195" s="3" t="s">
        <v>16</v>
      </c>
      <c r="D195" s="4" t="s">
        <v>17</v>
      </c>
      <c r="E195" s="4" t="s">
        <v>18</v>
      </c>
      <c r="F195" s="5">
        <v>21.57</v>
      </c>
      <c r="G195" s="3" t="s">
        <v>753</v>
      </c>
      <c r="H195" s="3" t="s">
        <v>754</v>
      </c>
      <c r="I195" s="4" t="s">
        <v>755</v>
      </c>
      <c r="J195" s="1" t="d">
        <v>2022-08-24</v>
      </c>
      <c r="K195" s="9" t="s">
        <v>20</v>
      </c>
      <c r="L195" s="5">
        <v>275.39</v>
      </c>
      <c r="M195" s="1" t="d">
        <v>2022-12-29</v>
      </c>
      <c r="N195" s="6" t="s">
        <v>16</v>
      </c>
      <c r="O195" s="9" t="s">
        <v>40</v>
      </c>
    </row>
    <row r="196" spans="1:15" ht="12" x14ac:dyDescent="0.15">
      <c r="A196" s="1" t="d">
        <v>2022-03-12</v>
      </c>
      <c r="B196" s="3" t="s">
        <v>756</v>
      </c>
      <c r="C196" s="3" t="s">
        <v>16</v>
      </c>
      <c r="D196" s="4" t="s">
        <v>17</v>
      </c>
      <c r="E196" s="4" t="s">
        <v>18</v>
      </c>
      <c r="F196" s="5">
        <v>102.25</v>
      </c>
      <c r="G196" s="3" t="s">
        <v>757</v>
      </c>
      <c r="H196" s="3" t="s">
        <v>16</v>
      </c>
      <c r="I196" s="4" t="s">
        <v>758</v>
      </c>
      <c r="J196" s="1" t="d">
        <v>2022-03-12</v>
      </c>
      <c r="K196" s="9" t="s">
        <v>20</v>
      </c>
      <c r="L196" s="5">
        <v>274.76</v>
      </c>
      <c r="M196" s="1" t="d">
        <v>2022-06-03</v>
      </c>
      <c r="N196" s="6" t="s">
        <v>16</v>
      </c>
      <c r="O196" s="9" t="s">
        <v>759</v>
      </c>
    </row>
    <row r="197" spans="1:15" ht="12" x14ac:dyDescent="0.15">
      <c r="A197" s="1" t="d">
        <v>2023-10-30</v>
      </c>
      <c r="B197" s="3" t="s">
        <v>760</v>
      </c>
      <c r="C197" s="3" t="s">
        <v>16</v>
      </c>
      <c r="D197" s="4" t="s">
        <v>17</v>
      </c>
      <c r="E197" s="4" t="s">
        <v>18</v>
      </c>
      <c r="F197" s="5">
        <v>910</v>
      </c>
      <c r="G197" s="3" t="s">
        <v>761</v>
      </c>
      <c r="H197" s="3" t="s">
        <v>762</v>
      </c>
      <c r="I197" s="4" t="s">
        <v>763</v>
      </c>
      <c r="J197" s="1" t="d">
        <v>2023-10-30</v>
      </c>
      <c r="K197" s="9" t="s">
        <v>20</v>
      </c>
      <c r="L197" s="5">
        <v>274.58999999999997</v>
      </c>
      <c r="M197" s="1" t="d">
        <v>2024-01-02</v>
      </c>
      <c r="N197" s="6" t="s">
        <v>16</v>
      </c>
      <c r="O197" s="9" t="s">
        <v>381</v>
      </c>
    </row>
    <row r="198" spans="1:15" ht="36" x14ac:dyDescent="0.15">
      <c r="A198" s="1" t="d">
        <v>2025-10-02</v>
      </c>
      <c r="B198" s="3" t="s">
        <v>764</v>
      </c>
      <c r="C198" s="3" t="s">
        <v>16</v>
      </c>
      <c r="D198" s="4" t="s">
        <v>17</v>
      </c>
      <c r="E198" s="4" t="s">
        <v>18</v>
      </c>
      <c r="F198" s="5">
        <v>319.98</v>
      </c>
      <c r="G198" s="3" t="s">
        <v>765</v>
      </c>
      <c r="H198" s="3" t="s">
        <v>766</v>
      </c>
      <c r="I198" s="4" t="s">
        <v>767</v>
      </c>
      <c r="J198" s="1" t="d">
        <v>2025-10-02</v>
      </c>
      <c r="K198" s="9" t="s">
        <v>20</v>
      </c>
      <c r="L198" s="5">
        <v>273.57</v>
      </c>
      <c r="M198" s="1" t="d">
        <v>2025-11-17</v>
      </c>
      <c r="N198" s="10">
        <v>35.700000000000003</v>
      </c>
      <c r="O198" s="9" t="s">
        <v>422</v>
      </c>
    </row>
    <row r="199" spans="1:15" ht="24" x14ac:dyDescent="0.15">
      <c r="A199" s="1" t="d">
        <v>2024-02-29</v>
      </c>
      <c r="B199" s="3" t="s">
        <v>768</v>
      </c>
      <c r="C199" s="3" t="s">
        <v>769</v>
      </c>
      <c r="D199" s="4" t="s">
        <v>17</v>
      </c>
      <c r="E199" s="4" t="s">
        <v>18</v>
      </c>
      <c r="F199" s="5">
        <v>33.99</v>
      </c>
      <c r="G199" s="3" t="s">
        <v>770</v>
      </c>
      <c r="H199" s="3" t="s">
        <v>771</v>
      </c>
      <c r="I199" s="4" t="s">
        <v>772</v>
      </c>
      <c r="J199" s="1" t="d">
        <v>2024-02-29</v>
      </c>
      <c r="K199" s="9" t="s">
        <v>20</v>
      </c>
      <c r="L199" s="5">
        <v>273</v>
      </c>
      <c r="M199" s="1" t="d">
        <v>2024-03-13</v>
      </c>
      <c r="N199" s="10">
        <v>-34.5</v>
      </c>
      <c r="O199" s="9" t="s">
        <v>50</v>
      </c>
    </row>
    <row r="200" spans="1:15" ht="12" x14ac:dyDescent="0.15">
      <c r="A200" s="1" t="d">
        <v>2024-05-23</v>
      </c>
      <c r="B200" s="3" t="s">
        <v>706</v>
      </c>
      <c r="C200" s="3" t="s">
        <v>16</v>
      </c>
      <c r="D200" s="4" t="s">
        <v>17</v>
      </c>
      <c r="E200" s="4" t="s">
        <v>18</v>
      </c>
      <c r="F200" s="6" t="s">
        <v>16</v>
      </c>
      <c r="G200" s="3" t="s">
        <v>773</v>
      </c>
      <c r="H200" s="3" t="s">
        <v>774</v>
      </c>
      <c r="I200" s="4" t="s">
        <v>775</v>
      </c>
      <c r="J200" s="1" t="d">
        <v>2024-05-23</v>
      </c>
      <c r="K200" s="9" t="s">
        <v>20</v>
      </c>
      <c r="L200" s="5">
        <v>272.76</v>
      </c>
      <c r="M200" s="1" t="d">
        <v>2024-05-02</v>
      </c>
      <c r="N200" s="10">
        <v>125.7</v>
      </c>
      <c r="O200" s="9" t="s">
        <v>510</v>
      </c>
    </row>
    <row r="201" spans="1:15" ht="12" x14ac:dyDescent="0.15">
      <c r="A201" s="1" t="d">
        <v>2024-06-05</v>
      </c>
      <c r="B201" s="3" t="s">
        <v>776</v>
      </c>
      <c r="C201" s="3" t="s">
        <v>16</v>
      </c>
      <c r="D201" s="4" t="s">
        <v>17</v>
      </c>
      <c r="E201" s="4" t="s">
        <v>18</v>
      </c>
      <c r="F201" s="5">
        <v>1378.44</v>
      </c>
      <c r="G201" s="3" t="s">
        <v>777</v>
      </c>
      <c r="H201" s="3" t="s">
        <v>16</v>
      </c>
      <c r="I201" s="4" t="s">
        <v>778</v>
      </c>
      <c r="J201" s="1" t="d">
        <v>2024-06-05</v>
      </c>
      <c r="K201" s="9" t="s">
        <v>20</v>
      </c>
      <c r="L201" s="5">
        <v>269.64</v>
      </c>
      <c r="M201" s="1" t="d">
        <v>2024-09-12</v>
      </c>
      <c r="N201" s="6" t="s">
        <v>16</v>
      </c>
      <c r="O201" s="9" t="s">
        <v>101</v>
      </c>
    </row>
    <row r="202" spans="1:15" ht="24" x14ac:dyDescent="0.15">
      <c r="A202" s="1" t="d">
        <v>2023-02-09</v>
      </c>
      <c r="B202" s="3" t="s">
        <v>779</v>
      </c>
      <c r="C202" s="3" t="s">
        <v>16</v>
      </c>
      <c r="D202" s="4" t="s">
        <v>17</v>
      </c>
      <c r="E202" s="4" t="s">
        <v>18</v>
      </c>
      <c r="F202" s="5">
        <v>19.579999999999998</v>
      </c>
      <c r="G202" s="3" t="s">
        <v>780</v>
      </c>
      <c r="H202" s="3" t="s">
        <v>16</v>
      </c>
      <c r="I202" s="4" t="s">
        <v>781</v>
      </c>
      <c r="J202" s="1" t="d">
        <v>2023-02-09</v>
      </c>
      <c r="K202" s="9" t="s">
        <v>20</v>
      </c>
      <c r="L202" s="5">
        <v>262.77</v>
      </c>
      <c r="M202" s="1" t="d">
        <v>2023-02-09</v>
      </c>
      <c r="N202" s="10">
        <v>35.6</v>
      </c>
      <c r="O202" s="9" t="s">
        <v>85</v>
      </c>
    </row>
    <row r="203" spans="1:15" ht="12" x14ac:dyDescent="0.15">
      <c r="A203" s="1" t="d">
        <v>2022-04-14</v>
      </c>
      <c r="B203" s="3" t="s">
        <v>782</v>
      </c>
      <c r="C203" s="3" t="s">
        <v>783</v>
      </c>
      <c r="D203" s="4" t="s">
        <v>17</v>
      </c>
      <c r="E203" s="4" t="s">
        <v>18</v>
      </c>
      <c r="F203" s="5">
        <v>40.57</v>
      </c>
      <c r="G203" s="3" t="s">
        <v>784</v>
      </c>
      <c r="H203" s="3" t="s">
        <v>785</v>
      </c>
      <c r="I203" s="4" t="s">
        <v>786</v>
      </c>
      <c r="J203" s="1" t="d">
        <v>2022-04-14</v>
      </c>
      <c r="K203" s="9" t="s">
        <v>20</v>
      </c>
      <c r="L203" s="5">
        <v>259.48</v>
      </c>
      <c r="M203" s="1" t="d">
        <v>2022-06-02</v>
      </c>
      <c r="N203" s="10">
        <v>11.3</v>
      </c>
      <c r="O203" s="9" t="s">
        <v>50</v>
      </c>
    </row>
    <row r="204" spans="1:15" ht="36" x14ac:dyDescent="0.15">
      <c r="A204" s="1" t="d">
        <v>2024-01-05</v>
      </c>
      <c r="B204" s="3" t="s">
        <v>787</v>
      </c>
      <c r="C204" s="3" t="s">
        <v>16</v>
      </c>
      <c r="D204" s="4" t="s">
        <v>17</v>
      </c>
      <c r="E204" s="4" t="s">
        <v>18</v>
      </c>
      <c r="F204" s="5">
        <v>340.41</v>
      </c>
      <c r="G204" s="3" t="s">
        <v>788</v>
      </c>
      <c r="H204" s="3" t="s">
        <v>16</v>
      </c>
      <c r="I204" s="4" t="s">
        <v>789</v>
      </c>
      <c r="J204" s="1" t="d">
        <v>2024-01-05</v>
      </c>
      <c r="K204" s="9" t="s">
        <v>20</v>
      </c>
      <c r="L204" s="5">
        <v>259.16000000000003</v>
      </c>
      <c r="M204" s="1" t="d">
        <v>2024-05-03</v>
      </c>
      <c r="N204" s="6" t="s">
        <v>16</v>
      </c>
      <c r="O204" s="9" t="s">
        <v>790</v>
      </c>
    </row>
    <row r="205" spans="1:15" ht="12" x14ac:dyDescent="0.15">
      <c r="A205" s="1" t="d">
        <v>2022-11-21</v>
      </c>
      <c r="B205" s="3" t="s">
        <v>728</v>
      </c>
      <c r="C205" s="3" t="s">
        <v>16</v>
      </c>
      <c r="D205" s="4" t="s">
        <v>17</v>
      </c>
      <c r="E205" s="4" t="s">
        <v>18</v>
      </c>
      <c r="F205" s="5">
        <v>85.82</v>
      </c>
      <c r="G205" s="3" t="s">
        <v>516</v>
      </c>
      <c r="H205" s="3" t="s">
        <v>791</v>
      </c>
      <c r="I205" s="4" t="s">
        <v>792</v>
      </c>
      <c r="J205" s="1" t="d">
        <v>2022-11-21</v>
      </c>
      <c r="K205" s="9" t="s">
        <v>20</v>
      </c>
      <c r="L205" s="5">
        <v>258.04000000000002</v>
      </c>
      <c r="M205" s="1" t="d">
        <v>2023-02-28</v>
      </c>
      <c r="N205" s="6" t="s">
        <v>16</v>
      </c>
      <c r="O205" s="9" t="s">
        <v>50</v>
      </c>
    </row>
    <row r="206" spans="1:15" ht="48" x14ac:dyDescent="0.15">
      <c r="A206" s="1" t="d">
        <v>2021-09-23</v>
      </c>
      <c r="B206" s="3" t="s">
        <v>779</v>
      </c>
      <c r="C206" s="3" t="s">
        <v>16</v>
      </c>
      <c r="D206" s="4" t="s">
        <v>17</v>
      </c>
      <c r="E206" s="4" t="s">
        <v>18</v>
      </c>
      <c r="F206" s="5">
        <v>139.11000000000001</v>
      </c>
      <c r="G206" s="3" t="s">
        <v>793</v>
      </c>
      <c r="H206" s="3" t="s">
        <v>16</v>
      </c>
      <c r="I206" s="4" t="s">
        <v>794</v>
      </c>
      <c r="J206" s="1" t="d">
        <v>2021-09-23</v>
      </c>
      <c r="K206" s="9" t="s">
        <v>20</v>
      </c>
      <c r="L206" s="5">
        <v>256.32</v>
      </c>
      <c r="M206" s="1" t="d">
        <v>2022-02-15</v>
      </c>
      <c r="N206" s="10">
        <v>35.6</v>
      </c>
      <c r="O206" s="9" t="s">
        <v>795</v>
      </c>
    </row>
    <row r="207" spans="1:15" ht="72" x14ac:dyDescent="0.15">
      <c r="A207" s="1" t="d">
        <v>2024-04-08</v>
      </c>
      <c r="B207" s="3" t="s">
        <v>796</v>
      </c>
      <c r="C207" s="3" t="s">
        <v>16</v>
      </c>
      <c r="D207" s="4" t="s">
        <v>17</v>
      </c>
      <c r="E207" s="4" t="s">
        <v>18</v>
      </c>
      <c r="F207" s="5">
        <v>1495.09</v>
      </c>
      <c r="G207" s="3" t="s">
        <v>327</v>
      </c>
      <c r="H207" s="3" t="s">
        <v>797</v>
      </c>
      <c r="I207" s="4" t="s">
        <v>798</v>
      </c>
      <c r="J207" s="1" t="d">
        <v>2024-04-08</v>
      </c>
      <c r="K207" s="9" t="s">
        <v>20</v>
      </c>
      <c r="L207" s="5">
        <v>256.31</v>
      </c>
      <c r="M207" s="1" t="d">
        <v>2024-06-27</v>
      </c>
      <c r="N207" s="6" t="s">
        <v>16</v>
      </c>
      <c r="O207" s="9" t="s">
        <v>93</v>
      </c>
    </row>
    <row r="208" spans="1:15" ht="24" x14ac:dyDescent="0.15">
      <c r="A208" s="1" t="d">
        <v>2022-12-08</v>
      </c>
      <c r="B208" s="3" t="s">
        <v>638</v>
      </c>
      <c r="C208" s="3" t="s">
        <v>16</v>
      </c>
      <c r="D208" s="4" t="s">
        <v>17</v>
      </c>
      <c r="E208" s="4" t="s">
        <v>18</v>
      </c>
      <c r="F208" s="6" t="s">
        <v>16</v>
      </c>
      <c r="G208" s="3" t="s">
        <v>799</v>
      </c>
      <c r="H208" s="3" t="s">
        <v>16</v>
      </c>
      <c r="I208" s="4" t="s">
        <v>800</v>
      </c>
      <c r="J208" s="1" t="d">
        <v>2022-12-08</v>
      </c>
      <c r="K208" s="9" t="s">
        <v>20</v>
      </c>
      <c r="L208" s="5">
        <v>254.39</v>
      </c>
      <c r="M208" s="1" t="d">
        <v>2022-12-08</v>
      </c>
      <c r="N208" s="10">
        <v>45.4</v>
      </c>
      <c r="O208" s="9" t="s">
        <v>45</v>
      </c>
    </row>
    <row r="209" spans="1:15" ht="24" x14ac:dyDescent="0.15">
      <c r="A209" s="1" t="d">
        <v>2023-12-01</v>
      </c>
      <c r="B209" s="3" t="s">
        <v>801</v>
      </c>
      <c r="C209" s="3" t="s">
        <v>16</v>
      </c>
      <c r="D209" s="4" t="s">
        <v>17</v>
      </c>
      <c r="E209" s="4" t="s">
        <v>18</v>
      </c>
      <c r="F209" s="5">
        <v>940.75</v>
      </c>
      <c r="G209" s="3" t="s">
        <v>802</v>
      </c>
      <c r="H209" s="3" t="s">
        <v>803</v>
      </c>
      <c r="I209" s="4" t="s">
        <v>804</v>
      </c>
      <c r="J209" s="1" t="d">
        <v>2023-12-01</v>
      </c>
      <c r="K209" s="9" t="s">
        <v>20</v>
      </c>
      <c r="L209" s="5">
        <v>251</v>
      </c>
      <c r="M209" s="1" t="d">
        <v>2023-12-01</v>
      </c>
      <c r="N209" s="6" t="s">
        <v>16</v>
      </c>
      <c r="O209" s="9" t="s">
        <v>805</v>
      </c>
    </row>
    <row r="210" spans="1:15" ht="12" x14ac:dyDescent="0.15">
      <c r="A210" s="1" t="d">
        <v>2021-11-26</v>
      </c>
      <c r="B210" s="3" t="s">
        <v>806</v>
      </c>
      <c r="C210" s="3" t="s">
        <v>807</v>
      </c>
      <c r="D210" s="4" t="s">
        <v>17</v>
      </c>
      <c r="E210" s="4" t="s">
        <v>18</v>
      </c>
      <c r="F210" s="6" t="s">
        <v>16</v>
      </c>
      <c r="G210" s="3" t="s">
        <v>808</v>
      </c>
      <c r="H210" s="3" t="s">
        <v>809</v>
      </c>
      <c r="I210" s="4" t="s">
        <v>810</v>
      </c>
      <c r="J210" s="1" t="d">
        <v>2021-11-26</v>
      </c>
      <c r="K210" s="9" t="s">
        <v>20</v>
      </c>
      <c r="L210" s="5">
        <v>249.4</v>
      </c>
      <c r="M210" s="1" t="d">
        <v>2022-03-03</v>
      </c>
      <c r="N210" s="6" t="s">
        <v>16</v>
      </c>
      <c r="O210" s="9" t="s">
        <v>119</v>
      </c>
    </row>
    <row r="211" spans="1:15" ht="36" x14ac:dyDescent="0.15">
      <c r="A211" s="1" t="d">
        <v>2022-11-01</v>
      </c>
      <c r="B211" s="3" t="s">
        <v>811</v>
      </c>
      <c r="C211" s="3" t="s">
        <v>16</v>
      </c>
      <c r="D211" s="4" t="s">
        <v>17</v>
      </c>
      <c r="E211" s="4" t="s">
        <v>18</v>
      </c>
      <c r="F211" s="5">
        <v>583</v>
      </c>
      <c r="G211" s="3" t="s">
        <v>812</v>
      </c>
      <c r="H211" s="3" t="s">
        <v>813</v>
      </c>
      <c r="I211" s="4" t="s">
        <v>814</v>
      </c>
      <c r="J211" s="1" t="d">
        <v>2022-11-01</v>
      </c>
      <c r="K211" s="9" t="s">
        <v>20</v>
      </c>
      <c r="L211" s="5">
        <v>249.11</v>
      </c>
      <c r="M211" s="1" t="d">
        <v>2023-01-24</v>
      </c>
      <c r="N211" s="6" t="s">
        <v>16</v>
      </c>
      <c r="O211" s="9" t="s">
        <v>40</v>
      </c>
    </row>
    <row r="212" spans="1:15" ht="24" x14ac:dyDescent="0.15">
      <c r="A212" s="1" t="d">
        <v>2023-12-19</v>
      </c>
      <c r="B212" s="3" t="s">
        <v>815</v>
      </c>
      <c r="C212" s="3" t="s">
        <v>16</v>
      </c>
      <c r="D212" s="4" t="s">
        <v>17</v>
      </c>
      <c r="E212" s="4" t="s">
        <v>18</v>
      </c>
      <c r="F212" s="5">
        <v>346.82</v>
      </c>
      <c r="G212" s="3" t="s">
        <v>816</v>
      </c>
      <c r="H212" s="3" t="s">
        <v>817</v>
      </c>
      <c r="I212" s="4" t="s">
        <v>818</v>
      </c>
      <c r="J212" s="1" t="d">
        <v>2023-12-19</v>
      </c>
      <c r="K212" s="9" t="s">
        <v>20</v>
      </c>
      <c r="L212" s="5">
        <v>246.97</v>
      </c>
      <c r="M212" s="1" t="d">
        <v>2024-04-26</v>
      </c>
      <c r="N212" s="6" t="s">
        <v>16</v>
      </c>
      <c r="O212" s="9" t="s">
        <v>93</v>
      </c>
    </row>
    <row r="213" spans="1:15" ht="24" x14ac:dyDescent="0.15">
      <c r="A213" s="1" t="d">
        <v>2025-05-13</v>
      </c>
      <c r="B213" s="3" t="s">
        <v>819</v>
      </c>
      <c r="C213" s="3" t="s">
        <v>16</v>
      </c>
      <c r="D213" s="4" t="s">
        <v>17</v>
      </c>
      <c r="E213" s="4" t="s">
        <v>18</v>
      </c>
      <c r="F213" s="6" t="s">
        <v>16</v>
      </c>
      <c r="G213" s="3" t="s">
        <v>820</v>
      </c>
      <c r="H213" s="3" t="s">
        <v>16</v>
      </c>
      <c r="I213" s="4" t="s">
        <v>821</v>
      </c>
      <c r="J213" s="1" t="d">
        <v>2025-05-13</v>
      </c>
      <c r="K213" s="9" t="s">
        <v>20</v>
      </c>
      <c r="L213" s="5">
        <v>246.93</v>
      </c>
      <c r="M213" s="1" t="d">
        <v>2025-05-13</v>
      </c>
      <c r="N213" s="6" t="s">
        <v>16</v>
      </c>
      <c r="O213" s="9" t="s">
        <v>822</v>
      </c>
    </row>
    <row r="214" spans="1:15" ht="24" x14ac:dyDescent="0.15">
      <c r="A214" s="1" t="d">
        <v>2021-11-08</v>
      </c>
      <c r="B214" s="3" t="s">
        <v>823</v>
      </c>
      <c r="C214" s="3" t="s">
        <v>16</v>
      </c>
      <c r="D214" s="4" t="s">
        <v>17</v>
      </c>
      <c r="E214" s="4" t="s">
        <v>18</v>
      </c>
      <c r="F214" s="5">
        <v>922.97</v>
      </c>
      <c r="G214" s="3" t="s">
        <v>98</v>
      </c>
      <c r="H214" s="3" t="s">
        <v>824</v>
      </c>
      <c r="I214" s="4" t="s">
        <v>825</v>
      </c>
      <c r="J214" s="1" t="d">
        <v>2021-11-08</v>
      </c>
      <c r="K214" s="9" t="s">
        <v>20</v>
      </c>
      <c r="L214" s="5">
        <v>245.56</v>
      </c>
      <c r="M214" s="1" t="d">
        <v>2021-12-23</v>
      </c>
      <c r="N214" s="6" t="s">
        <v>16</v>
      </c>
      <c r="O214" s="9" t="s">
        <v>826</v>
      </c>
    </row>
    <row r="215" spans="1:15" ht="12" x14ac:dyDescent="0.15">
      <c r="A215" s="1" t="d">
        <v>2023-07-12</v>
      </c>
      <c r="B215" s="3" t="s">
        <v>827</v>
      </c>
      <c r="C215" s="3" t="s">
        <v>828</v>
      </c>
      <c r="D215" s="4" t="s">
        <v>17</v>
      </c>
      <c r="E215" s="4" t="s">
        <v>18</v>
      </c>
      <c r="F215" s="5">
        <v>17.47</v>
      </c>
      <c r="G215" s="3" t="s">
        <v>16</v>
      </c>
      <c r="H215" s="3" t="s">
        <v>829</v>
      </c>
      <c r="I215" s="4" t="s">
        <v>830</v>
      </c>
      <c r="J215" s="1" t="d">
        <v>2023-07-12</v>
      </c>
      <c r="K215" s="9" t="s">
        <v>20</v>
      </c>
      <c r="L215" s="5">
        <v>244.42</v>
      </c>
      <c r="M215" s="1" t="d">
        <v>2023-07-12</v>
      </c>
      <c r="N215" s="5">
        <v>9.91</v>
      </c>
      <c r="O215" s="9" t="s">
        <v>831</v>
      </c>
    </row>
    <row r="216" spans="1:15" ht="12" x14ac:dyDescent="0.15">
      <c r="A216" s="1" t="d">
        <v>2023-10-25</v>
      </c>
      <c r="B216" s="3" t="s">
        <v>832</v>
      </c>
      <c r="C216" s="3" t="s">
        <v>16</v>
      </c>
      <c r="D216" s="4" t="s">
        <v>17</v>
      </c>
      <c r="E216" s="4" t="s">
        <v>18</v>
      </c>
      <c r="F216" s="5">
        <v>651.26</v>
      </c>
      <c r="G216" s="3" t="s">
        <v>706</v>
      </c>
      <c r="H216" s="3" t="s">
        <v>16</v>
      </c>
      <c r="I216" s="4" t="s">
        <v>833</v>
      </c>
      <c r="J216" s="1" t="d">
        <v>2023-10-25</v>
      </c>
      <c r="K216" s="9" t="s">
        <v>20</v>
      </c>
      <c r="L216" s="5">
        <v>243.25</v>
      </c>
      <c r="M216" s="1" t="d">
        <v>2024-02-29</v>
      </c>
      <c r="N216" s="6" t="s">
        <v>16</v>
      </c>
      <c r="O216" s="9" t="s">
        <v>212</v>
      </c>
    </row>
    <row r="217" spans="1:15" ht="12" x14ac:dyDescent="0.15">
      <c r="A217" s="1" t="d">
        <v>2021-10-08</v>
      </c>
      <c r="B217" s="3" t="s">
        <v>834</v>
      </c>
      <c r="C217" s="3" t="s">
        <v>16</v>
      </c>
      <c r="D217" s="4" t="s">
        <v>17</v>
      </c>
      <c r="E217" s="4" t="s">
        <v>18</v>
      </c>
      <c r="F217" s="5">
        <v>356.65</v>
      </c>
      <c r="G217" s="3" t="s">
        <v>835</v>
      </c>
      <c r="H217" s="3" t="s">
        <v>836</v>
      </c>
      <c r="I217" s="4" t="s">
        <v>837</v>
      </c>
      <c r="J217" s="1" t="d">
        <v>2021-10-08</v>
      </c>
      <c r="K217" s="9" t="s">
        <v>20</v>
      </c>
      <c r="L217" s="5">
        <v>241.34</v>
      </c>
      <c r="M217" s="1" t="d">
        <v>2021-11-01</v>
      </c>
      <c r="N217" s="6" t="s">
        <v>16</v>
      </c>
      <c r="O217" s="9" t="s">
        <v>340</v>
      </c>
    </row>
    <row r="218" spans="1:15" ht="36" x14ac:dyDescent="0.15">
      <c r="A218" s="1" t="d">
        <v>2025-07-25</v>
      </c>
      <c r="B218" s="3" t="s">
        <v>782</v>
      </c>
      <c r="C218" s="3" t="s">
        <v>783</v>
      </c>
      <c r="D218" s="4" t="s">
        <v>17</v>
      </c>
      <c r="E218" s="4" t="s">
        <v>18</v>
      </c>
      <c r="F218" s="5">
        <v>98.2</v>
      </c>
      <c r="G218" s="3" t="s">
        <v>838</v>
      </c>
      <c r="H218" s="3" t="s">
        <v>785</v>
      </c>
      <c r="I218" s="4" t="s">
        <v>839</v>
      </c>
      <c r="J218" s="1" t="d">
        <v>2025-07-25</v>
      </c>
      <c r="K218" s="9" t="s">
        <v>20</v>
      </c>
      <c r="L218" s="5">
        <v>240.02</v>
      </c>
      <c r="M218" s="1" t="d">
        <v>2025-10-20</v>
      </c>
      <c r="N218" s="10">
        <v>11.3</v>
      </c>
      <c r="O218" s="9" t="s">
        <v>50</v>
      </c>
    </row>
    <row r="219" spans="1:15" ht="12" x14ac:dyDescent="0.15">
      <c r="A219" s="1" t="d">
        <v>2026-04-21</v>
      </c>
      <c r="B219" s="3" t="s">
        <v>840</v>
      </c>
      <c r="C219" s="3" t="s">
        <v>16</v>
      </c>
      <c r="D219" s="4" t="s">
        <v>17</v>
      </c>
      <c r="E219" s="4" t="s">
        <v>18</v>
      </c>
      <c r="F219" s="5">
        <v>438.95</v>
      </c>
      <c r="G219" s="3" t="s">
        <v>841</v>
      </c>
      <c r="H219" s="3" t="s">
        <v>842</v>
      </c>
      <c r="I219" s="4" t="s">
        <v>843</v>
      </c>
      <c r="J219" s="1" t="d">
        <v>2026-04-21</v>
      </c>
      <c r="K219" s="9" t="s">
        <v>20</v>
      </c>
      <c r="L219" s="5">
        <v>236</v>
      </c>
      <c r="M219" s="1" t="d">
        <v>2026-09-04</v>
      </c>
      <c r="N219" s="5">
        <v>1.29</v>
      </c>
      <c r="O219" s="9" t="s">
        <v>212</v>
      </c>
    </row>
    <row r="220" spans="1:15" ht="84" x14ac:dyDescent="0.15">
      <c r="A220" s="1" t="d">
        <v>2024-02-06</v>
      </c>
      <c r="B220" s="3" t="s">
        <v>844</v>
      </c>
      <c r="C220" s="3" t="s">
        <v>16</v>
      </c>
      <c r="D220" s="4" t="s">
        <v>17</v>
      </c>
      <c r="E220" s="4" t="s">
        <v>18</v>
      </c>
      <c r="F220" s="5">
        <v>322.61</v>
      </c>
      <c r="G220" s="3" t="s">
        <v>845</v>
      </c>
      <c r="H220" s="3" t="s">
        <v>846</v>
      </c>
      <c r="I220" s="4" t="s">
        <v>847</v>
      </c>
      <c r="J220" s="1" t="d">
        <v>2024-02-06</v>
      </c>
      <c r="K220" s="9" t="s">
        <v>20</v>
      </c>
      <c r="L220" s="5">
        <v>233.3</v>
      </c>
      <c r="M220" s="1" t="d">
        <v>2024-05-13</v>
      </c>
      <c r="N220" s="6" t="s">
        <v>16</v>
      </c>
      <c r="O220" s="9" t="s">
        <v>93</v>
      </c>
    </row>
    <row r="221" spans="1:15" ht="12" x14ac:dyDescent="0.15">
      <c r="A221" s="1" t="d">
        <v>2026-03-03</v>
      </c>
      <c r="B221" s="3" t="s">
        <v>848</v>
      </c>
      <c r="C221" s="3" t="s">
        <v>16</v>
      </c>
      <c r="D221" s="4" t="s">
        <v>17</v>
      </c>
      <c r="E221" s="4" t="s">
        <v>18</v>
      </c>
      <c r="F221" s="5">
        <v>1216.0999999999999</v>
      </c>
      <c r="G221" s="3" t="s">
        <v>849</v>
      </c>
      <c r="H221" s="3" t="s">
        <v>850</v>
      </c>
      <c r="I221" s="4" t="s">
        <v>851</v>
      </c>
      <c r="J221" s="1" t="d">
        <v>2026-03-03</v>
      </c>
      <c r="K221" s="9" t="s">
        <v>20</v>
      </c>
      <c r="L221" s="5">
        <v>231</v>
      </c>
      <c r="M221" s="1" t="d">
        <v>2026-06-17</v>
      </c>
      <c r="N221" s="6" t="s">
        <v>16</v>
      </c>
      <c r="O221" s="9" t="s">
        <v>381</v>
      </c>
    </row>
    <row r="222" spans="1:15" ht="24" x14ac:dyDescent="0.15">
      <c r="A222" s="1" t="d">
        <v>2021-12-01</v>
      </c>
      <c r="B222" s="3" t="s">
        <v>852</v>
      </c>
      <c r="C222" s="3" t="s">
        <v>16</v>
      </c>
      <c r="D222" s="4" t="s">
        <v>17</v>
      </c>
      <c r="E222" s="4" t="s">
        <v>18</v>
      </c>
      <c r="F222" s="5">
        <v>1705.87</v>
      </c>
      <c r="G222" s="3" t="s">
        <v>853</v>
      </c>
      <c r="H222" s="3" t="s">
        <v>854</v>
      </c>
      <c r="I222" s="4" t="s">
        <v>855</v>
      </c>
      <c r="J222" s="1" t="d">
        <v>2021-12-01</v>
      </c>
      <c r="K222" s="9" t="s">
        <v>20</v>
      </c>
      <c r="L222" s="5">
        <v>228.96</v>
      </c>
      <c r="M222" s="1" t="d">
        <v>2022-03-16</v>
      </c>
      <c r="N222" s="6" t="s">
        <v>16</v>
      </c>
      <c r="O222" s="9" t="s">
        <v>101</v>
      </c>
    </row>
    <row r="223" spans="1:15" ht="12" x14ac:dyDescent="0.15">
      <c r="A223" s="1" t="d">
        <v>2022-11-28</v>
      </c>
      <c r="B223" s="3" t="s">
        <v>782</v>
      </c>
      <c r="C223" s="3" t="s">
        <v>783</v>
      </c>
      <c r="D223" s="4" t="s">
        <v>17</v>
      </c>
      <c r="E223" s="4" t="s">
        <v>18</v>
      </c>
      <c r="F223" s="5">
        <v>34.979999999999997</v>
      </c>
      <c r="G223" s="3" t="s">
        <v>16</v>
      </c>
      <c r="H223" s="3" t="s">
        <v>785</v>
      </c>
      <c r="I223" s="4" t="s">
        <v>856</v>
      </c>
      <c r="J223" s="1" t="d">
        <v>2022-11-28</v>
      </c>
      <c r="K223" s="9" t="s">
        <v>20</v>
      </c>
      <c r="L223" s="5">
        <v>227.54</v>
      </c>
      <c r="M223" s="1" t="d">
        <v>2023-02-23</v>
      </c>
      <c r="N223" s="10">
        <v>11.3</v>
      </c>
      <c r="O223" s="9" t="s">
        <v>50</v>
      </c>
    </row>
    <row r="224" spans="1:15" ht="24" x14ac:dyDescent="0.15">
      <c r="A224" s="1" t="d">
        <v>2025-07-22</v>
      </c>
      <c r="B224" s="3" t="s">
        <v>857</v>
      </c>
      <c r="C224" s="3" t="s">
        <v>16</v>
      </c>
      <c r="D224" s="4" t="s">
        <v>17</v>
      </c>
      <c r="E224" s="4" t="s">
        <v>18</v>
      </c>
      <c r="F224" s="6" t="s">
        <v>16</v>
      </c>
      <c r="G224" s="3" t="s">
        <v>277</v>
      </c>
      <c r="H224" s="3" t="s">
        <v>16</v>
      </c>
      <c r="I224" s="4" t="s">
        <v>858</v>
      </c>
      <c r="J224" s="1" t="d">
        <v>2025-07-22</v>
      </c>
      <c r="K224" s="9" t="s">
        <v>20</v>
      </c>
      <c r="L224" s="5">
        <v>227.19</v>
      </c>
      <c r="M224" s="1" t="d">
        <v>2025-11-30</v>
      </c>
      <c r="N224" s="6" t="s">
        <v>16</v>
      </c>
      <c r="O224" s="9" t="s">
        <v>859</v>
      </c>
    </row>
    <row r="225" spans="1:15" ht="12" x14ac:dyDescent="0.15">
      <c r="A225" s="1" t="d">
        <v>2022-11-01</v>
      </c>
      <c r="B225" s="3" t="s">
        <v>860</v>
      </c>
      <c r="C225" s="3" t="s">
        <v>16</v>
      </c>
      <c r="D225" s="4" t="s">
        <v>17</v>
      </c>
      <c r="E225" s="4" t="s">
        <v>18</v>
      </c>
      <c r="F225" s="5">
        <v>717.91</v>
      </c>
      <c r="G225" s="3" t="s">
        <v>861</v>
      </c>
      <c r="H225" s="3" t="s">
        <v>862</v>
      </c>
      <c r="I225" s="4" t="s">
        <v>863</v>
      </c>
      <c r="J225" s="1" t="d">
        <v>2022-11-01</v>
      </c>
      <c r="K225" s="9" t="s">
        <v>20</v>
      </c>
      <c r="L225" s="5">
        <v>226.99</v>
      </c>
      <c r="M225" s="1" t="d">
        <v>2022-12-19</v>
      </c>
      <c r="N225" s="6" t="s">
        <v>16</v>
      </c>
      <c r="O225" s="9" t="s">
        <v>381</v>
      </c>
    </row>
    <row r="226" spans="1:15" ht="36" x14ac:dyDescent="0.15">
      <c r="A226" s="1" t="d">
        <v>2024-12-27</v>
      </c>
      <c r="B226" s="3" t="s">
        <v>864</v>
      </c>
      <c r="C226" s="3" t="s">
        <v>865</v>
      </c>
      <c r="D226" s="4" t="s">
        <v>17</v>
      </c>
      <c r="E226" s="4" t="s">
        <v>18</v>
      </c>
      <c r="F226" s="5">
        <v>279.26</v>
      </c>
      <c r="G226" s="3" t="s">
        <v>497</v>
      </c>
      <c r="H226" s="3" t="s">
        <v>16</v>
      </c>
      <c r="I226" s="4" t="s">
        <v>866</v>
      </c>
      <c r="J226" s="1" t="d">
        <v>2024-12-27</v>
      </c>
      <c r="K226" s="9" t="s">
        <v>20</v>
      </c>
      <c r="L226" s="5">
        <v>225.74</v>
      </c>
      <c r="M226" s="1" t="d">
        <v>2026-05-01</v>
      </c>
      <c r="N226" s="10">
        <v>41.3</v>
      </c>
      <c r="O226" s="9" t="s">
        <v>867</v>
      </c>
    </row>
    <row r="227" spans="1:15" ht="24" x14ac:dyDescent="0.15">
      <c r="A227" s="1" t="d">
        <v>2024-05-02</v>
      </c>
      <c r="B227" s="3" t="s">
        <v>864</v>
      </c>
      <c r="C227" s="3" t="s">
        <v>865</v>
      </c>
      <c r="D227" s="4" t="s">
        <v>17</v>
      </c>
      <c r="E227" s="4" t="s">
        <v>18</v>
      </c>
      <c r="F227" s="5">
        <v>151.94999999999999</v>
      </c>
      <c r="G227" s="3" t="s">
        <v>497</v>
      </c>
      <c r="H227" s="3" t="s">
        <v>16</v>
      </c>
      <c r="I227" s="4" t="s">
        <v>868</v>
      </c>
      <c r="J227" s="1" t="d">
        <v>2024-05-02</v>
      </c>
      <c r="K227" s="9" t="s">
        <v>20</v>
      </c>
      <c r="L227" s="5">
        <v>225.74</v>
      </c>
      <c r="M227" s="1" t="d">
        <v>2024-12-20</v>
      </c>
      <c r="N227" s="10">
        <v>41.3</v>
      </c>
      <c r="O227" s="9" t="s">
        <v>869</v>
      </c>
    </row>
    <row r="228" spans="1:15" ht="24" x14ac:dyDescent="0.15">
      <c r="A228" s="1" t="d">
        <v>2024-05-02</v>
      </c>
      <c r="B228" s="3" t="s">
        <v>864</v>
      </c>
      <c r="C228" s="3" t="s">
        <v>865</v>
      </c>
      <c r="D228" s="4" t="s">
        <v>17</v>
      </c>
      <c r="E228" s="4" t="s">
        <v>18</v>
      </c>
      <c r="F228" s="5">
        <v>21.49</v>
      </c>
      <c r="G228" s="3" t="s">
        <v>497</v>
      </c>
      <c r="H228" s="3" t="s">
        <v>16</v>
      </c>
      <c r="I228" s="4" t="s">
        <v>870</v>
      </c>
      <c r="J228" s="1" t="d">
        <v>2024-05-02</v>
      </c>
      <c r="K228" s="9" t="s">
        <v>20</v>
      </c>
      <c r="L228" s="5">
        <v>225.74</v>
      </c>
      <c r="M228" s="1" t="d">
        <v>2024-11-12</v>
      </c>
      <c r="N228" s="10">
        <v>41.3</v>
      </c>
      <c r="O228" s="9" t="s">
        <v>871</v>
      </c>
    </row>
    <row r="229" spans="1:15" ht="24" x14ac:dyDescent="0.15">
      <c r="A229" s="1" t="d">
        <v>2025-05-20</v>
      </c>
      <c r="B229" s="3" t="s">
        <v>872</v>
      </c>
      <c r="C229" s="3" t="s">
        <v>16</v>
      </c>
      <c r="D229" s="4" t="s">
        <v>17</v>
      </c>
      <c r="E229" s="4" t="s">
        <v>18</v>
      </c>
      <c r="F229" s="6" t="s">
        <v>16</v>
      </c>
      <c r="G229" s="3" t="s">
        <v>873</v>
      </c>
      <c r="H229" s="3" t="s">
        <v>874</v>
      </c>
      <c r="I229" s="4" t="s">
        <v>875</v>
      </c>
      <c r="J229" s="1" t="d">
        <v>2025-05-20</v>
      </c>
      <c r="K229" s="9" t="s">
        <v>20</v>
      </c>
      <c r="L229" s="5">
        <v>225.17</v>
      </c>
      <c r="M229" s="1" t="d">
        <v>2025-08-27</v>
      </c>
      <c r="N229" s="6" t="s">
        <v>16</v>
      </c>
      <c r="O229" s="9" t="s">
        <v>859</v>
      </c>
    </row>
    <row r="230" spans="1:15" ht="12" x14ac:dyDescent="0.15">
      <c r="A230" s="1" t="d">
        <v>2022-03-01</v>
      </c>
      <c r="B230" s="3" t="s">
        <v>876</v>
      </c>
      <c r="C230" s="3" t="s">
        <v>16</v>
      </c>
      <c r="D230" s="4" t="s">
        <v>17</v>
      </c>
      <c r="E230" s="4" t="s">
        <v>18</v>
      </c>
      <c r="F230" s="5">
        <v>1111.48</v>
      </c>
      <c r="G230" s="3" t="s">
        <v>877</v>
      </c>
      <c r="H230" s="3" t="s">
        <v>878</v>
      </c>
      <c r="I230" s="4" t="s">
        <v>879</v>
      </c>
      <c r="J230" s="1" t="d">
        <v>2022-03-01</v>
      </c>
      <c r="K230" s="9" t="s">
        <v>20</v>
      </c>
      <c r="L230" s="5">
        <v>222.3</v>
      </c>
      <c r="M230" s="1" t="d">
        <v>2022-03-31</v>
      </c>
      <c r="N230" s="6" t="s">
        <v>16</v>
      </c>
      <c r="O230" s="9" t="s">
        <v>101</v>
      </c>
    </row>
    <row r="231" spans="1:15" ht="24" x14ac:dyDescent="0.15">
      <c r="A231" s="1" t="d">
        <v>2023-05-11</v>
      </c>
      <c r="B231" s="3" t="s">
        <v>880</v>
      </c>
      <c r="C231" s="3" t="s">
        <v>16</v>
      </c>
      <c r="D231" s="4" t="s">
        <v>17</v>
      </c>
      <c r="E231" s="4" t="s">
        <v>18</v>
      </c>
      <c r="F231" s="5">
        <v>929.04</v>
      </c>
      <c r="G231" s="3" t="s">
        <v>881</v>
      </c>
      <c r="H231" s="3" t="s">
        <v>882</v>
      </c>
      <c r="I231" s="4" t="s">
        <v>883</v>
      </c>
      <c r="J231" s="1" t="d">
        <v>2023-05-11</v>
      </c>
      <c r="K231" s="9" t="s">
        <v>20</v>
      </c>
      <c r="L231" s="5">
        <v>222.06</v>
      </c>
      <c r="M231" s="1" t="d">
        <v>2023-07-27</v>
      </c>
      <c r="N231" s="6" t="s">
        <v>16</v>
      </c>
      <c r="O231" s="9" t="s">
        <v>299</v>
      </c>
    </row>
    <row r="232" spans="1:15" ht="24" x14ac:dyDescent="0.15">
      <c r="A232" s="1" t="d">
        <v>2023-11-09</v>
      </c>
      <c r="B232" s="3" t="s">
        <v>884</v>
      </c>
      <c r="C232" s="3" t="s">
        <v>16</v>
      </c>
      <c r="D232" s="4" t="s">
        <v>17</v>
      </c>
      <c r="E232" s="4" t="s">
        <v>18</v>
      </c>
      <c r="F232" s="5">
        <v>91.35</v>
      </c>
      <c r="G232" s="3" t="s">
        <v>120</v>
      </c>
      <c r="H232" s="3" t="s">
        <v>16</v>
      </c>
      <c r="I232" s="4" t="s">
        <v>885</v>
      </c>
      <c r="J232" s="1" t="d">
        <v>2023-11-09</v>
      </c>
      <c r="K232" s="9" t="s">
        <v>20</v>
      </c>
      <c r="L232" s="5">
        <v>219.33</v>
      </c>
      <c r="M232" s="1" t="d">
        <v>2023-12-21</v>
      </c>
      <c r="N232" s="6" t="s">
        <v>16</v>
      </c>
      <c r="O232" s="9" t="s">
        <v>55</v>
      </c>
    </row>
    <row r="233" spans="1:15" ht="12" x14ac:dyDescent="0.15">
      <c r="A233" s="1" t="d">
        <v>2025-09-12</v>
      </c>
      <c r="B233" s="3" t="s">
        <v>886</v>
      </c>
      <c r="C233" s="3" t="s">
        <v>887</v>
      </c>
      <c r="D233" s="4" t="s">
        <v>17</v>
      </c>
      <c r="E233" s="4" t="s">
        <v>18</v>
      </c>
      <c r="F233" s="5">
        <v>64.92</v>
      </c>
      <c r="G233" s="3" t="s">
        <v>888</v>
      </c>
      <c r="H233" s="3" t="s">
        <v>16</v>
      </c>
      <c r="I233" s="4" t="s">
        <v>889</v>
      </c>
      <c r="J233" s="1" t="d">
        <v>2025-09-12</v>
      </c>
      <c r="K233" s="9" t="s">
        <v>20</v>
      </c>
      <c r="L233" s="5">
        <v>218.33</v>
      </c>
      <c r="M233" s="1" t="d">
        <v>2025-12-01</v>
      </c>
      <c r="N233" s="10">
        <v>28.1</v>
      </c>
      <c r="O233" s="9" t="s">
        <v>50</v>
      </c>
    </row>
    <row r="234" spans="1:15" ht="48" x14ac:dyDescent="0.15">
      <c r="A234" s="1" t="d">
        <v>2024-09-19</v>
      </c>
      <c r="B234" s="3" t="s">
        <v>890</v>
      </c>
      <c r="C234" s="3" t="s">
        <v>16</v>
      </c>
      <c r="D234" s="4" t="s">
        <v>17</v>
      </c>
      <c r="E234" s="4" t="s">
        <v>18</v>
      </c>
      <c r="F234" s="5">
        <v>1807.28</v>
      </c>
      <c r="G234" s="3" t="s">
        <v>891</v>
      </c>
      <c r="H234" s="3" t="s">
        <v>16</v>
      </c>
      <c r="I234" s="4" t="s">
        <v>892</v>
      </c>
      <c r="J234" s="1" t="d">
        <v>2024-09-19</v>
      </c>
      <c r="K234" s="9" t="s">
        <v>20</v>
      </c>
      <c r="L234" s="5">
        <v>217.57</v>
      </c>
      <c r="M234" s="1" t="d">
        <v>2025-01-30</v>
      </c>
      <c r="N234" s="6" t="s">
        <v>16</v>
      </c>
      <c r="O234" s="9" t="s">
        <v>893</v>
      </c>
    </row>
    <row r="235" spans="1:15" ht="24" x14ac:dyDescent="0.15">
      <c r="A235" s="1" t="d">
        <v>2023-11-15</v>
      </c>
      <c r="B235" s="3" t="s">
        <v>894</v>
      </c>
      <c r="C235" s="3" t="s">
        <v>16</v>
      </c>
      <c r="D235" s="4" t="s">
        <v>17</v>
      </c>
      <c r="E235" s="4" t="s">
        <v>18</v>
      </c>
      <c r="F235" s="6" t="s">
        <v>16</v>
      </c>
      <c r="G235" s="3" t="s">
        <v>895</v>
      </c>
      <c r="H235" s="3" t="s">
        <v>896</v>
      </c>
      <c r="I235" s="4" t="s">
        <v>897</v>
      </c>
      <c r="J235" s="1" t="d">
        <v>2023-11-15</v>
      </c>
      <c r="K235" s="9" t="s">
        <v>20</v>
      </c>
      <c r="L235" s="5">
        <v>217.27</v>
      </c>
      <c r="M235" s="1" t="d">
        <v>2024-03-31</v>
      </c>
      <c r="N235" s="6" t="s">
        <v>16</v>
      </c>
      <c r="O235" s="9" t="s">
        <v>898</v>
      </c>
    </row>
    <row r="236" spans="1:15" ht="12" x14ac:dyDescent="0.15">
      <c r="A236" s="1" t="d">
        <v>2025-01-27</v>
      </c>
      <c r="B236" s="3" t="s">
        <v>899</v>
      </c>
      <c r="C236" s="3" t="s">
        <v>16</v>
      </c>
      <c r="D236" s="4" t="s">
        <v>17</v>
      </c>
      <c r="E236" s="4" t="s">
        <v>18</v>
      </c>
      <c r="F236" s="5">
        <v>160.58000000000001</v>
      </c>
      <c r="G236" s="3" t="s">
        <v>900</v>
      </c>
      <c r="H236" s="3" t="s">
        <v>901</v>
      </c>
      <c r="I236" s="4" t="s">
        <v>902</v>
      </c>
      <c r="J236" s="1" t="d">
        <v>2025-01-27</v>
      </c>
      <c r="K236" s="9" t="s">
        <v>20</v>
      </c>
      <c r="L236" s="5">
        <v>215.29</v>
      </c>
      <c r="M236" s="1" t="d">
        <v>2025-03-17</v>
      </c>
      <c r="N236" s="5">
        <v>5.65</v>
      </c>
      <c r="O236" s="9" t="s">
        <v>381</v>
      </c>
    </row>
    <row r="237" spans="1:15" ht="48" x14ac:dyDescent="0.15">
      <c r="A237" s="1" t="d">
        <v>2025-06-20</v>
      </c>
      <c r="B237" s="3" t="s">
        <v>903</v>
      </c>
      <c r="C237" s="3" t="s">
        <v>16</v>
      </c>
      <c r="D237" s="4" t="s">
        <v>17</v>
      </c>
      <c r="E237" s="4" t="s">
        <v>18</v>
      </c>
      <c r="F237" s="5">
        <v>1531.9</v>
      </c>
      <c r="G237" s="3" t="s">
        <v>845</v>
      </c>
      <c r="H237" s="3" t="s">
        <v>904</v>
      </c>
      <c r="I237" s="4" t="s">
        <v>905</v>
      </c>
      <c r="J237" s="1" t="d">
        <v>2025-06-20</v>
      </c>
      <c r="K237" s="9" t="s">
        <v>20</v>
      </c>
      <c r="L237" s="5">
        <v>214.66</v>
      </c>
      <c r="M237" s="1" t="d">
        <v>2025-09-24</v>
      </c>
      <c r="N237" s="10">
        <v>-78.599999999999994</v>
      </c>
      <c r="O237" s="9" t="s">
        <v>906</v>
      </c>
    </row>
    <row r="238" spans="1:15" ht="12" x14ac:dyDescent="0.15">
      <c r="A238" s="1" t="d">
        <v>2026-04-13</v>
      </c>
      <c r="B238" s="3" t="s">
        <v>907</v>
      </c>
      <c r="C238" s="3" t="s">
        <v>16</v>
      </c>
      <c r="D238" s="4" t="s">
        <v>17</v>
      </c>
      <c r="E238" s="4" t="s">
        <v>18</v>
      </c>
      <c r="F238" s="5">
        <v>2341.1</v>
      </c>
      <c r="G238" s="3" t="s">
        <v>908</v>
      </c>
      <c r="H238" s="3" t="s">
        <v>403</v>
      </c>
      <c r="I238" s="4" t="s">
        <v>909</v>
      </c>
      <c r="J238" s="1" t="d">
        <v>2026-04-13</v>
      </c>
      <c r="K238" s="9" t="s">
        <v>20</v>
      </c>
      <c r="L238" s="5">
        <v>214.59</v>
      </c>
      <c r="M238" s="1" t="d">
        <v>2026-07-01</v>
      </c>
      <c r="N238" s="6" t="s">
        <v>16</v>
      </c>
      <c r="O238" s="9" t="s">
        <v>393</v>
      </c>
    </row>
    <row r="239" spans="1:15" ht="12" x14ac:dyDescent="0.15">
      <c r="A239" s="1" t="d">
        <v>2023-09-21</v>
      </c>
      <c r="B239" s="3" t="s">
        <v>910</v>
      </c>
      <c r="C239" s="3" t="s">
        <v>911</v>
      </c>
      <c r="D239" s="4" t="s">
        <v>17</v>
      </c>
      <c r="E239" s="4" t="s">
        <v>18</v>
      </c>
      <c r="F239" s="6" t="s">
        <v>16</v>
      </c>
      <c r="G239" s="3" t="s">
        <v>16</v>
      </c>
      <c r="H239" s="3" t="s">
        <v>912</v>
      </c>
      <c r="I239" s="4" t="s">
        <v>913</v>
      </c>
      <c r="J239" s="1" t="d">
        <v>2023-09-21</v>
      </c>
      <c r="K239" s="9" t="s">
        <v>20</v>
      </c>
      <c r="L239" s="5">
        <v>213.33</v>
      </c>
      <c r="M239" s="1" t="d">
        <v>2023-09-21</v>
      </c>
      <c r="N239" s="5">
        <v>8.0299999999999994</v>
      </c>
      <c r="O239" s="9" t="s">
        <v>31</v>
      </c>
    </row>
    <row r="240" spans="1:15" ht="36" x14ac:dyDescent="0.15">
      <c r="A240" s="1" t="d">
        <v>2025-03-31</v>
      </c>
      <c r="B240" s="3" t="s">
        <v>914</v>
      </c>
      <c r="C240" s="3" t="s">
        <v>16</v>
      </c>
      <c r="D240" s="4" t="s">
        <v>17</v>
      </c>
      <c r="E240" s="4" t="s">
        <v>18</v>
      </c>
      <c r="F240" s="5">
        <v>4448.33</v>
      </c>
      <c r="G240" s="3" t="s">
        <v>915</v>
      </c>
      <c r="H240" s="3" t="s">
        <v>916</v>
      </c>
      <c r="I240" s="4" t="s">
        <v>917</v>
      </c>
      <c r="J240" s="1" t="d">
        <v>2025-03-31</v>
      </c>
      <c r="K240" s="9" t="s">
        <v>20</v>
      </c>
      <c r="L240" s="5">
        <v>213.19</v>
      </c>
      <c r="M240" s="1" t="d">
        <v>2025-07-23</v>
      </c>
      <c r="N240" s="10">
        <v>96.7</v>
      </c>
      <c r="O240" s="9" t="s">
        <v>918</v>
      </c>
    </row>
    <row r="241" spans="1:15" ht="24" x14ac:dyDescent="0.15">
      <c r="A241" s="1" t="d">
        <v>2024-07-22</v>
      </c>
      <c r="B241" s="3" t="s">
        <v>919</v>
      </c>
      <c r="C241" s="3" t="s">
        <v>920</v>
      </c>
      <c r="D241" s="4" t="s">
        <v>17</v>
      </c>
      <c r="E241" s="4" t="s">
        <v>18</v>
      </c>
      <c r="F241" s="5">
        <v>24.79</v>
      </c>
      <c r="G241" s="3" t="s">
        <v>921</v>
      </c>
      <c r="H241" s="3" t="s">
        <v>16</v>
      </c>
      <c r="I241" s="4" t="s">
        <v>922</v>
      </c>
      <c r="J241" s="1" t="d">
        <v>2024-07-22</v>
      </c>
      <c r="K241" s="9" t="s">
        <v>20</v>
      </c>
      <c r="L241" s="5">
        <v>211.85</v>
      </c>
      <c r="M241" s="1" t="d">
        <v>2024-08-20</v>
      </c>
      <c r="N241" s="5">
        <v>5.92</v>
      </c>
      <c r="O241" s="9" t="s">
        <v>65</v>
      </c>
    </row>
    <row r="242" spans="1:15" ht="24" x14ac:dyDescent="0.15">
      <c r="A242" s="1" t="d">
        <v>2025-02-14</v>
      </c>
      <c r="B242" s="3" t="s">
        <v>923</v>
      </c>
      <c r="C242" s="3" t="s">
        <v>924</v>
      </c>
      <c r="D242" s="4" t="s">
        <v>17</v>
      </c>
      <c r="E242" s="4" t="s">
        <v>18</v>
      </c>
      <c r="F242" s="5">
        <v>23.71</v>
      </c>
      <c r="G242" s="3" t="s">
        <v>925</v>
      </c>
      <c r="H242" s="3" t="s">
        <v>16</v>
      </c>
      <c r="I242" s="4" t="s">
        <v>926</v>
      </c>
      <c r="J242" s="1" t="d">
        <v>2025-02-14</v>
      </c>
      <c r="K242" s="9" t="s">
        <v>20</v>
      </c>
      <c r="L242" s="5">
        <v>209.72</v>
      </c>
      <c r="M242" s="1" t="d">
        <v>2025-07-16</v>
      </c>
      <c r="N242" s="10">
        <v>27.1</v>
      </c>
      <c r="O242" s="9" t="s">
        <v>871</v>
      </c>
    </row>
    <row r="243" spans="1:15" ht="24" x14ac:dyDescent="0.15">
      <c r="A243" s="1" t="d">
        <v>2025-07-31</v>
      </c>
      <c r="B243" s="3" t="s">
        <v>927</v>
      </c>
      <c r="C243" s="3" t="s">
        <v>928</v>
      </c>
      <c r="D243" s="4" t="s">
        <v>17</v>
      </c>
      <c r="E243" s="4" t="s">
        <v>18</v>
      </c>
      <c r="F243" s="6" t="s">
        <v>16</v>
      </c>
      <c r="G243" s="3" t="s">
        <v>929</v>
      </c>
      <c r="H243" s="3" t="s">
        <v>930</v>
      </c>
      <c r="I243" s="4" t="s">
        <v>931</v>
      </c>
      <c r="J243" s="1" t="d">
        <v>2025-07-31</v>
      </c>
      <c r="K243" s="9" t="s">
        <v>20</v>
      </c>
      <c r="L243" s="5">
        <v>208.74</v>
      </c>
      <c r="M243" s="1" t="d">
        <v>2025-09-22</v>
      </c>
      <c r="N243" s="10">
        <v>23.2</v>
      </c>
      <c r="O243" s="9" t="s">
        <v>45</v>
      </c>
    </row>
    <row r="244" spans="1:15" ht="12" x14ac:dyDescent="0.15">
      <c r="A244" s="1" t="d">
        <v>2023-05-26</v>
      </c>
      <c r="B244" s="3" t="s">
        <v>932</v>
      </c>
      <c r="C244" s="3" t="s">
        <v>933</v>
      </c>
      <c r="D244" s="4" t="s">
        <v>17</v>
      </c>
      <c r="E244" s="4" t="s">
        <v>18</v>
      </c>
      <c r="F244" s="5">
        <v>11.67</v>
      </c>
      <c r="G244" s="3" t="s">
        <v>934</v>
      </c>
      <c r="H244" s="3" t="s">
        <v>935</v>
      </c>
      <c r="I244" s="4" t="s">
        <v>936</v>
      </c>
      <c r="J244" s="1" t="d">
        <v>2023-05-26</v>
      </c>
      <c r="K244" s="9" t="s">
        <v>20</v>
      </c>
      <c r="L244" s="5">
        <v>206.19</v>
      </c>
      <c r="M244" s="1" t="d">
        <v>2023-05-26</v>
      </c>
      <c r="N244" s="10">
        <v>33.700000000000003</v>
      </c>
      <c r="O244" s="9" t="s">
        <v>50</v>
      </c>
    </row>
    <row r="245" spans="1:15" ht="12" x14ac:dyDescent="0.15">
      <c r="A245" s="1" t="d">
        <v>2025-07-22</v>
      </c>
      <c r="B245" s="3" t="s">
        <v>937</v>
      </c>
      <c r="C245" s="3" t="s">
        <v>16</v>
      </c>
      <c r="D245" s="4" t="s">
        <v>17</v>
      </c>
      <c r="E245" s="4" t="s">
        <v>18</v>
      </c>
      <c r="F245" s="5">
        <v>548.21</v>
      </c>
      <c r="G245" s="3" t="s">
        <v>938</v>
      </c>
      <c r="H245" s="3" t="s">
        <v>939</v>
      </c>
      <c r="I245" s="4" t="s">
        <v>940</v>
      </c>
      <c r="J245" s="1" t="d">
        <v>2025-07-22</v>
      </c>
      <c r="K245" s="9" t="s">
        <v>20</v>
      </c>
      <c r="L245" s="5">
        <v>205.8</v>
      </c>
      <c r="M245" s="1" t="d">
        <v>2026-02-27</v>
      </c>
      <c r="N245" s="6" t="s">
        <v>16</v>
      </c>
      <c r="O245" s="9" t="s">
        <v>381</v>
      </c>
    </row>
    <row r="246" spans="1:15" ht="12" x14ac:dyDescent="0.15">
      <c r="A246" s="1" t="d">
        <v>2025-01-15</v>
      </c>
      <c r="B246" s="3" t="s">
        <v>941</v>
      </c>
      <c r="C246" s="3" t="s">
        <v>16</v>
      </c>
      <c r="D246" s="4" t="s">
        <v>17</v>
      </c>
      <c r="E246" s="4" t="s">
        <v>18</v>
      </c>
      <c r="F246" s="6" t="s">
        <v>16</v>
      </c>
      <c r="G246" s="3" t="s">
        <v>942</v>
      </c>
      <c r="H246" s="3" t="s">
        <v>16</v>
      </c>
      <c r="I246" s="4" t="s">
        <v>943</v>
      </c>
      <c r="J246" s="1" t="d">
        <v>2025-01-15</v>
      </c>
      <c r="K246" s="9" t="s">
        <v>20</v>
      </c>
      <c r="L246" s="5">
        <v>205.78</v>
      </c>
      <c r="M246" s="1" t="d">
        <v>2025-01-15</v>
      </c>
      <c r="N246" s="5">
        <v>2.0099999999999998</v>
      </c>
      <c r="O246" s="9" t="s">
        <v>139</v>
      </c>
    </row>
    <row r="247" spans="1:15" ht="24" x14ac:dyDescent="0.15">
      <c r="A247" s="1" t="d">
        <v>2023-09-14</v>
      </c>
      <c r="B247" s="3" t="s">
        <v>944</v>
      </c>
      <c r="C247" s="3" t="s">
        <v>16</v>
      </c>
      <c r="D247" s="4" t="s">
        <v>17</v>
      </c>
      <c r="E247" s="4" t="s">
        <v>18</v>
      </c>
      <c r="F247" s="5">
        <v>218.65</v>
      </c>
      <c r="G247" s="3" t="s">
        <v>945</v>
      </c>
      <c r="H247" s="3" t="s">
        <v>946</v>
      </c>
      <c r="I247" s="4" t="s">
        <v>947</v>
      </c>
      <c r="J247" s="1" t="d">
        <v>2023-09-14</v>
      </c>
      <c r="K247" s="9" t="s">
        <v>20</v>
      </c>
      <c r="L247" s="5">
        <v>205.1</v>
      </c>
      <c r="M247" s="1" t="d">
        <v>2023-10-23</v>
      </c>
      <c r="N247" s="6" t="s">
        <v>16</v>
      </c>
      <c r="O247" s="9" t="s">
        <v>422</v>
      </c>
    </row>
    <row r="248" spans="1:15" ht="24" x14ac:dyDescent="0.15">
      <c r="A248" s="1" t="d">
        <v>2025-05-20</v>
      </c>
      <c r="B248" s="3" t="s">
        <v>948</v>
      </c>
      <c r="C248" s="3" t="s">
        <v>949</v>
      </c>
      <c r="D248" s="4" t="s">
        <v>17</v>
      </c>
      <c r="E248" s="4" t="s">
        <v>18</v>
      </c>
      <c r="F248" s="5">
        <v>35.75</v>
      </c>
      <c r="G248" s="3" t="s">
        <v>950</v>
      </c>
      <c r="H248" s="3" t="s">
        <v>951</v>
      </c>
      <c r="I248" s="4" t="s">
        <v>952</v>
      </c>
      <c r="J248" s="1" t="d">
        <v>2025-05-20</v>
      </c>
      <c r="K248" s="9" t="s">
        <v>20</v>
      </c>
      <c r="L248" s="5">
        <v>202.97</v>
      </c>
      <c r="M248" s="1" t="d">
        <v>2025-06-25</v>
      </c>
      <c r="N248" s="10">
        <v>-19.3</v>
      </c>
      <c r="O248" s="9" t="s">
        <v>65</v>
      </c>
    </row>
    <row r="249" spans="1:15" ht="36" x14ac:dyDescent="0.15">
      <c r="A249" s="1" t="d">
        <v>2022-10-11</v>
      </c>
      <c r="B249" s="3" t="s">
        <v>953</v>
      </c>
      <c r="C249" s="3" t="s">
        <v>16</v>
      </c>
      <c r="D249" s="4" t="s">
        <v>17</v>
      </c>
      <c r="E249" s="4" t="s">
        <v>18</v>
      </c>
      <c r="F249" s="5">
        <v>2341.5300000000002</v>
      </c>
      <c r="G249" s="3" t="s">
        <v>403</v>
      </c>
      <c r="H249" s="3" t="s">
        <v>954</v>
      </c>
      <c r="I249" s="4" t="s">
        <v>955</v>
      </c>
      <c r="J249" s="1" t="d">
        <v>2022-10-11</v>
      </c>
      <c r="K249" s="9" t="s">
        <v>20</v>
      </c>
      <c r="L249" s="5">
        <v>201.89</v>
      </c>
      <c r="M249" s="1" t="d">
        <v>2023-08-23</v>
      </c>
      <c r="N249" s="6" t="s">
        <v>16</v>
      </c>
      <c r="O249" s="9" t="s">
        <v>93</v>
      </c>
    </row>
    <row r="250" spans="1:15" ht="36" x14ac:dyDescent="0.15">
      <c r="A250" s="1" t="d">
        <v>2025-01-13</v>
      </c>
      <c r="B250" s="3" t="s">
        <v>956</v>
      </c>
      <c r="C250" s="3" t="s">
        <v>16</v>
      </c>
      <c r="D250" s="4" t="s">
        <v>17</v>
      </c>
      <c r="E250" s="4" t="s">
        <v>18</v>
      </c>
      <c r="F250" s="5">
        <v>1598.98</v>
      </c>
      <c r="G250" s="3" t="s">
        <v>413</v>
      </c>
      <c r="H250" s="3" t="s">
        <v>957</v>
      </c>
      <c r="I250" s="4" t="s">
        <v>958</v>
      </c>
      <c r="J250" s="1" t="d">
        <v>2025-01-13</v>
      </c>
      <c r="K250" s="9" t="s">
        <v>20</v>
      </c>
      <c r="L250" s="5">
        <v>201.61</v>
      </c>
      <c r="M250" s="1" t="d">
        <v>2025-04-21</v>
      </c>
      <c r="N250" s="10">
        <v>13.6</v>
      </c>
      <c r="O250" s="9" t="s">
        <v>110</v>
      </c>
    </row>
    <row r="251" spans="1:15" ht="24" x14ac:dyDescent="0.15">
      <c r="A251" s="1" t="d">
        <v>2024-05-23</v>
      </c>
      <c r="B251" s="3" t="s">
        <v>959</v>
      </c>
      <c r="C251" s="3" t="s">
        <v>16</v>
      </c>
      <c r="D251" s="4" t="s">
        <v>17</v>
      </c>
      <c r="E251" s="4" t="s">
        <v>18</v>
      </c>
      <c r="F251" s="5">
        <v>3000</v>
      </c>
      <c r="G251" s="3" t="s">
        <v>660</v>
      </c>
      <c r="H251" s="3" t="s">
        <v>878</v>
      </c>
      <c r="I251" s="4" t="s">
        <v>960</v>
      </c>
      <c r="J251" s="1" t="d">
        <v>2024-05-23</v>
      </c>
      <c r="K251" s="9" t="s">
        <v>20</v>
      </c>
      <c r="L251" s="5">
        <v>200</v>
      </c>
      <c r="M251" s="1" t="d">
        <v>2024-07-18</v>
      </c>
      <c r="N251" s="6" t="s">
        <v>16</v>
      </c>
      <c r="O251" s="9" t="s">
        <v>961</v>
      </c>
    </row>
    <row r="252" spans="1:15" ht="36" x14ac:dyDescent="0.15">
      <c r="A252" s="1" t="d">
        <v>2024-11-25</v>
      </c>
      <c r="B252" s="3" t="s">
        <v>963</v>
      </c>
      <c r="C252" s="3" t="s">
        <v>16</v>
      </c>
      <c r="D252" s="4" t="s">
        <v>17</v>
      </c>
      <c r="E252" s="4" t="s">
        <v>18</v>
      </c>
      <c r="F252" s="5">
        <v>257.47000000000003</v>
      </c>
      <c r="G252" s="3" t="s">
        <v>964</v>
      </c>
      <c r="H252" s="3" t="s">
        <v>965</v>
      </c>
      <c r="I252" s="4" t="s">
        <v>966</v>
      </c>
      <c r="J252" s="1" t="d">
        <v>2024-11-25</v>
      </c>
      <c r="K252" s="9" t="s">
        <v>20</v>
      </c>
      <c r="L252" s="5">
        <v>199.83</v>
      </c>
      <c r="M252" s="1" t="d">
        <v>2025-02-04</v>
      </c>
      <c r="N252" s="6" t="s">
        <v>16</v>
      </c>
      <c r="O252" s="9" t="s">
        <v>40</v>
      </c>
    </row>
    <row r="253" spans="1:15" ht="24" x14ac:dyDescent="0.15">
      <c r="A253" s="1" t="d">
        <v>2022-05-09</v>
      </c>
      <c r="B253" s="3" t="s">
        <v>967</v>
      </c>
      <c r="C253" s="3" t="s">
        <v>16</v>
      </c>
      <c r="D253" s="4" t="s">
        <v>17</v>
      </c>
      <c r="E253" s="4" t="s">
        <v>18</v>
      </c>
      <c r="F253" s="5">
        <v>201.65</v>
      </c>
      <c r="G253" s="3" t="s">
        <v>968</v>
      </c>
      <c r="H253" s="3" t="s">
        <v>969</v>
      </c>
      <c r="I253" s="4" t="s">
        <v>970</v>
      </c>
      <c r="J253" s="1" t="d">
        <v>2022-05-09</v>
      </c>
      <c r="K253" s="9" t="s">
        <v>20</v>
      </c>
      <c r="L253" s="5">
        <v>199.57</v>
      </c>
      <c r="M253" s="1" t="d">
        <v>2022-07-20</v>
      </c>
      <c r="N253" s="6" t="s">
        <v>16</v>
      </c>
      <c r="O253" s="9" t="s">
        <v>40</v>
      </c>
    </row>
    <row r="254" spans="1:15" ht="24" x14ac:dyDescent="0.15">
      <c r="A254" s="1" t="d">
        <v>2022-06-22</v>
      </c>
      <c r="B254" s="3" t="s">
        <v>971</v>
      </c>
      <c r="C254" s="3" t="s">
        <v>16</v>
      </c>
      <c r="D254" s="4" t="s">
        <v>17</v>
      </c>
      <c r="E254" s="4" t="s">
        <v>18</v>
      </c>
      <c r="F254" s="5">
        <v>213.63</v>
      </c>
      <c r="G254" s="3" t="s">
        <v>972</v>
      </c>
      <c r="H254" s="3" t="s">
        <v>973</v>
      </c>
      <c r="I254" s="4" t="s">
        <v>974</v>
      </c>
      <c r="J254" s="1" t="d">
        <v>2022-06-22</v>
      </c>
      <c r="K254" s="9" t="s">
        <v>20</v>
      </c>
      <c r="L254" s="5">
        <v>199.39</v>
      </c>
      <c r="M254" s="1" t="d">
        <v>2023-04-28</v>
      </c>
      <c r="N254" s="6" t="s">
        <v>16</v>
      </c>
      <c r="O254" s="9" t="s">
        <v>680</v>
      </c>
    </row>
    <row r="255" spans="1:15" ht="12" x14ac:dyDescent="0.15">
      <c r="A255" s="1" t="d">
        <v>2024-09-11</v>
      </c>
      <c r="B255" s="3" t="s">
        <v>975</v>
      </c>
      <c r="C255" s="3" t="s">
        <v>976</v>
      </c>
      <c r="D255" s="4" t="s">
        <v>17</v>
      </c>
      <c r="E255" s="4" t="s">
        <v>18</v>
      </c>
      <c r="F255" s="5">
        <v>8.5399999999999991</v>
      </c>
      <c r="G255" s="3" t="s">
        <v>16</v>
      </c>
      <c r="H255" s="3" t="s">
        <v>16</v>
      </c>
      <c r="I255" s="4" t="s">
        <v>977</v>
      </c>
      <c r="J255" s="1" t="d">
        <v>2024-09-11</v>
      </c>
      <c r="K255" s="9" t="s">
        <v>20</v>
      </c>
      <c r="L255" s="5">
        <v>196.13</v>
      </c>
      <c r="M255" s="1" t="d">
        <v>2024-09-23</v>
      </c>
      <c r="N255" s="7">
        <v>0.30099999999999999</v>
      </c>
      <c r="O255" s="9" t="s">
        <v>831</v>
      </c>
    </row>
    <row r="256" spans="1:15" ht="12" x14ac:dyDescent="0.15">
      <c r="A256" s="1" t="d">
        <v>2024-02-20</v>
      </c>
      <c r="B256" s="3" t="s">
        <v>978</v>
      </c>
      <c r="C256" s="3" t="s">
        <v>16</v>
      </c>
      <c r="D256" s="4" t="s">
        <v>17</v>
      </c>
      <c r="E256" s="4" t="s">
        <v>18</v>
      </c>
      <c r="F256" s="6" t="s">
        <v>16</v>
      </c>
      <c r="G256" s="3" t="s">
        <v>979</v>
      </c>
      <c r="H256" s="3" t="s">
        <v>16</v>
      </c>
      <c r="I256" s="4" t="s">
        <v>980</v>
      </c>
      <c r="J256" s="1" t="d">
        <v>2024-02-20</v>
      </c>
      <c r="K256" s="9" t="s">
        <v>20</v>
      </c>
      <c r="L256" s="5">
        <v>194.74</v>
      </c>
      <c r="M256" s="1" t="d">
        <v>2024-02-20</v>
      </c>
      <c r="N256" s="6" t="s">
        <v>16</v>
      </c>
      <c r="O256" s="9" t="s">
        <v>633</v>
      </c>
    </row>
    <row r="257" spans="1:15" ht="12" x14ac:dyDescent="0.15">
      <c r="A257" s="1" t="d">
        <v>2022-04-26</v>
      </c>
      <c r="B257" s="3" t="s">
        <v>981</v>
      </c>
      <c r="C257" s="3" t="s">
        <v>16</v>
      </c>
      <c r="D257" s="4" t="s">
        <v>17</v>
      </c>
      <c r="E257" s="4" t="s">
        <v>18</v>
      </c>
      <c r="F257" s="5">
        <v>540</v>
      </c>
      <c r="G257" s="3" t="s">
        <v>982</v>
      </c>
      <c r="H257" s="3" t="s">
        <v>331</v>
      </c>
      <c r="I257" s="4" t="s">
        <v>983</v>
      </c>
      <c r="J257" s="1" t="d">
        <v>2022-04-26</v>
      </c>
      <c r="K257" s="9" t="s">
        <v>20</v>
      </c>
      <c r="L257" s="5">
        <v>193.8</v>
      </c>
      <c r="M257" s="1" t="d">
        <v>2022-05-20</v>
      </c>
      <c r="N257" s="6" t="s">
        <v>16</v>
      </c>
      <c r="O257" s="9" t="s">
        <v>101</v>
      </c>
    </row>
    <row r="258" spans="1:15" ht="12" x14ac:dyDescent="0.15">
      <c r="A258" s="1" t="d">
        <v>2022-11-16</v>
      </c>
      <c r="B258" s="3" t="s">
        <v>984</v>
      </c>
      <c r="C258" s="3" t="s">
        <v>985</v>
      </c>
      <c r="D258" s="4" t="s">
        <v>17</v>
      </c>
      <c r="E258" s="4" t="s">
        <v>18</v>
      </c>
      <c r="F258" s="5">
        <v>184.55</v>
      </c>
      <c r="G258" s="3" t="s">
        <v>986</v>
      </c>
      <c r="H258" s="3" t="s">
        <v>987</v>
      </c>
      <c r="I258" s="4" t="s">
        <v>988</v>
      </c>
      <c r="J258" s="1" t="d">
        <v>2022-11-16</v>
      </c>
      <c r="K258" s="9" t="s">
        <v>20</v>
      </c>
      <c r="L258" s="5">
        <v>192.01</v>
      </c>
      <c r="M258" s="1" t="d">
        <v>2023-05-10</v>
      </c>
      <c r="N258" s="10">
        <v>40.5</v>
      </c>
      <c r="O258" s="9" t="s">
        <v>340</v>
      </c>
    </row>
    <row r="259" spans="1:15" ht="24" x14ac:dyDescent="0.15">
      <c r="A259" s="1" t="d">
        <v>2022-11-16</v>
      </c>
      <c r="B259" s="3" t="s">
        <v>984</v>
      </c>
      <c r="C259" s="3" t="s">
        <v>985</v>
      </c>
      <c r="D259" s="4" t="s">
        <v>17</v>
      </c>
      <c r="E259" s="4" t="s">
        <v>18</v>
      </c>
      <c r="F259" s="7">
        <v>0.90100000000000002</v>
      </c>
      <c r="G259" s="3" t="s">
        <v>986</v>
      </c>
      <c r="H259" s="3" t="s">
        <v>16</v>
      </c>
      <c r="I259" s="4" t="s">
        <v>989</v>
      </c>
      <c r="J259" s="1" t="d">
        <v>2022-11-16</v>
      </c>
      <c r="K259" s="9" t="s">
        <v>20</v>
      </c>
      <c r="L259" s="5">
        <v>192.01</v>
      </c>
      <c r="M259" s="1" t="d">
        <v>2023-05-17</v>
      </c>
      <c r="N259" s="10">
        <v>40.5</v>
      </c>
      <c r="O259" s="9" t="s">
        <v>183</v>
      </c>
    </row>
    <row r="260" spans="1:15" ht="36" x14ac:dyDescent="0.15">
      <c r="A260" s="1" t="d">
        <v>2025-03-20</v>
      </c>
      <c r="B260" s="3" t="s">
        <v>990</v>
      </c>
      <c r="C260" s="3" t="s">
        <v>991</v>
      </c>
      <c r="D260" s="4" t="s">
        <v>17</v>
      </c>
      <c r="E260" s="4" t="s">
        <v>18</v>
      </c>
      <c r="F260" s="5">
        <v>21.9</v>
      </c>
      <c r="G260" s="3" t="s">
        <v>16</v>
      </c>
      <c r="H260" s="3" t="s">
        <v>16</v>
      </c>
      <c r="I260" s="4" t="s">
        <v>992</v>
      </c>
      <c r="J260" s="1" t="d">
        <v>2025-03-20</v>
      </c>
      <c r="K260" s="9" t="s">
        <v>20</v>
      </c>
      <c r="L260" s="5">
        <v>191.69</v>
      </c>
      <c r="M260" s="1" t="d">
        <v>2025-06-02</v>
      </c>
      <c r="N260" s="5">
        <v>4.6100000000000003</v>
      </c>
      <c r="O260" s="9" t="s">
        <v>993</v>
      </c>
    </row>
    <row r="261" spans="1:15" ht="24" x14ac:dyDescent="0.15">
      <c r="A261" s="1" t="d">
        <v>2024-12-03</v>
      </c>
      <c r="B261" s="3" t="s">
        <v>994</v>
      </c>
      <c r="C261" s="3" t="s">
        <v>995</v>
      </c>
      <c r="D261" s="4" t="s">
        <v>17</v>
      </c>
      <c r="E261" s="4" t="s">
        <v>18</v>
      </c>
      <c r="F261" s="5">
        <v>51.17</v>
      </c>
      <c r="G261" s="3" t="s">
        <v>996</v>
      </c>
      <c r="H261" s="3" t="s">
        <v>16</v>
      </c>
      <c r="I261" s="4" t="s">
        <v>997</v>
      </c>
      <c r="J261" s="1" t="d">
        <v>2024-12-03</v>
      </c>
      <c r="K261" s="9" t="s">
        <v>20</v>
      </c>
      <c r="L261" s="5">
        <v>191.32</v>
      </c>
      <c r="M261" s="1" t="d">
        <v>2025-01-14</v>
      </c>
      <c r="N261" s="10">
        <v>-73.2</v>
      </c>
      <c r="O261" s="9" t="s">
        <v>50</v>
      </c>
    </row>
    <row r="262" spans="1:15" ht="24" x14ac:dyDescent="0.15">
      <c r="A262" s="1" t="d">
        <v>2022-07-14</v>
      </c>
      <c r="B262" s="3" t="s">
        <v>998</v>
      </c>
      <c r="C262" s="3" t="s">
        <v>999</v>
      </c>
      <c r="D262" s="4" t="s">
        <v>17</v>
      </c>
      <c r="E262" s="4" t="s">
        <v>18</v>
      </c>
      <c r="F262" s="6" t="s">
        <v>16</v>
      </c>
      <c r="G262" s="3" t="s">
        <v>1000</v>
      </c>
      <c r="H262" s="3" t="s">
        <v>16</v>
      </c>
      <c r="I262" s="4" t="s">
        <v>1001</v>
      </c>
      <c r="J262" s="1" t="d">
        <v>2022-07-14</v>
      </c>
      <c r="K262" s="9" t="s">
        <v>20</v>
      </c>
      <c r="L262" s="5">
        <v>189.76</v>
      </c>
      <c r="M262" s="1" t="d">
        <v>2022-07-11</v>
      </c>
      <c r="N262" s="10">
        <v>-33.9</v>
      </c>
      <c r="O262" s="9" t="s">
        <v>45</v>
      </c>
    </row>
    <row r="263" spans="1:15" ht="12" x14ac:dyDescent="0.15">
      <c r="A263" s="1" t="d">
        <v>2022-06-24</v>
      </c>
      <c r="B263" s="3" t="s">
        <v>1002</v>
      </c>
      <c r="C263" s="3" t="s">
        <v>1003</v>
      </c>
      <c r="D263" s="4" t="s">
        <v>17</v>
      </c>
      <c r="E263" s="4" t="s">
        <v>18</v>
      </c>
      <c r="F263" s="5">
        <v>52.55</v>
      </c>
      <c r="G263" s="3" t="s">
        <v>16</v>
      </c>
      <c r="H263" s="3" t="s">
        <v>1004</v>
      </c>
      <c r="I263" s="4" t="s">
        <v>1005</v>
      </c>
      <c r="J263" s="1" t="d">
        <v>2022-06-24</v>
      </c>
      <c r="K263" s="9" t="s">
        <v>20</v>
      </c>
      <c r="L263" s="5">
        <v>188.26</v>
      </c>
      <c r="M263" s="1" t="d">
        <v>2022-07-15</v>
      </c>
      <c r="N263" s="10">
        <v>232.6</v>
      </c>
      <c r="O263" s="9" t="s">
        <v>831</v>
      </c>
    </row>
    <row r="264" spans="1:15" ht="12" x14ac:dyDescent="0.15">
      <c r="A264" s="1" t="d">
        <v>2022-06-24</v>
      </c>
      <c r="B264" s="3" t="s">
        <v>1002</v>
      </c>
      <c r="C264" s="3" t="s">
        <v>1003</v>
      </c>
      <c r="D264" s="4" t="s">
        <v>17</v>
      </c>
      <c r="E264" s="4" t="s">
        <v>18</v>
      </c>
      <c r="F264" s="5">
        <v>52.55</v>
      </c>
      <c r="G264" s="3" t="s">
        <v>16</v>
      </c>
      <c r="H264" s="3" t="s">
        <v>1004</v>
      </c>
      <c r="I264" s="4" t="s">
        <v>1006</v>
      </c>
      <c r="J264" s="1" t="d">
        <v>2022-06-24</v>
      </c>
      <c r="K264" s="9" t="s">
        <v>20</v>
      </c>
      <c r="L264" s="5">
        <v>188.26</v>
      </c>
      <c r="M264" s="1" t="d">
        <v>2022-07-15</v>
      </c>
      <c r="N264" s="10">
        <v>232.6</v>
      </c>
      <c r="O264" s="9" t="s">
        <v>831</v>
      </c>
    </row>
    <row r="265" spans="1:15" ht="12" x14ac:dyDescent="0.15">
      <c r="A265" s="1" t="d">
        <v>2021-10-06</v>
      </c>
      <c r="B265" s="3" t="s">
        <v>1007</v>
      </c>
      <c r="C265" s="3" t="s">
        <v>16</v>
      </c>
      <c r="D265" s="4" t="s">
        <v>17</v>
      </c>
      <c r="E265" s="4" t="s">
        <v>18</v>
      </c>
      <c r="F265" s="5">
        <v>1050</v>
      </c>
      <c r="G265" s="3" t="s">
        <v>1008</v>
      </c>
      <c r="H265" s="3" t="s">
        <v>1009</v>
      </c>
      <c r="I265" s="4" t="s">
        <v>1010</v>
      </c>
      <c r="J265" s="1" t="d">
        <v>2021-10-06</v>
      </c>
      <c r="K265" s="9" t="s">
        <v>20</v>
      </c>
      <c r="L265" s="5">
        <v>188</v>
      </c>
      <c r="M265" s="1" t="d">
        <v>2022-01-01</v>
      </c>
      <c r="N265" s="6" t="s">
        <v>16</v>
      </c>
      <c r="O265" s="9" t="s">
        <v>381</v>
      </c>
    </row>
    <row r="266" spans="1:15" ht="24" x14ac:dyDescent="0.15">
      <c r="A266" s="1" t="d">
        <v>2023-07-27</v>
      </c>
      <c r="B266" s="3" t="s">
        <v>923</v>
      </c>
      <c r="C266" s="3" t="s">
        <v>924</v>
      </c>
      <c r="D266" s="4" t="s">
        <v>17</v>
      </c>
      <c r="E266" s="4" t="s">
        <v>18</v>
      </c>
      <c r="F266" s="5">
        <v>46.91</v>
      </c>
      <c r="G266" s="3" t="s">
        <v>925</v>
      </c>
      <c r="H266" s="3" t="s">
        <v>1011</v>
      </c>
      <c r="I266" s="4" t="s">
        <v>1012</v>
      </c>
      <c r="J266" s="1" t="d">
        <v>2023-07-27</v>
      </c>
      <c r="K266" s="9" t="s">
        <v>20</v>
      </c>
      <c r="L266" s="5">
        <v>187.33</v>
      </c>
      <c r="M266" s="1" t="d">
        <v>2023-12-31</v>
      </c>
      <c r="N266" s="10">
        <v>27.1</v>
      </c>
      <c r="O266" s="9" t="s">
        <v>50</v>
      </c>
    </row>
    <row r="267" spans="1:15" ht="24" x14ac:dyDescent="0.15">
      <c r="A267" s="1" t="d">
        <v>2021-12-17</v>
      </c>
      <c r="B267" s="3" t="s">
        <v>1013</v>
      </c>
      <c r="C267" s="3" t="s">
        <v>16</v>
      </c>
      <c r="D267" s="4" t="s">
        <v>17</v>
      </c>
      <c r="E267" s="4" t="s">
        <v>18</v>
      </c>
      <c r="F267" s="6" t="s">
        <v>16</v>
      </c>
      <c r="G267" s="3" t="s">
        <v>121</v>
      </c>
      <c r="H267" s="3" t="s">
        <v>1014</v>
      </c>
      <c r="I267" s="4" t="s">
        <v>1015</v>
      </c>
      <c r="J267" s="1" t="d">
        <v>2021-12-17</v>
      </c>
      <c r="K267" s="9" t="s">
        <v>20</v>
      </c>
      <c r="L267" s="5">
        <v>186.57</v>
      </c>
      <c r="M267" s="1" t="d">
        <v>2022-03-01</v>
      </c>
      <c r="N267" s="6" t="s">
        <v>16</v>
      </c>
      <c r="O267" s="9" t="s">
        <v>1016</v>
      </c>
    </row>
    <row r="268" spans="1:15" ht="12" x14ac:dyDescent="0.15">
      <c r="A268" s="1" t="d">
        <v>2022-12-28</v>
      </c>
      <c r="B268" s="3" t="s">
        <v>1017</v>
      </c>
      <c r="C268" s="3" t="s">
        <v>1018</v>
      </c>
      <c r="D268" s="4" t="s">
        <v>17</v>
      </c>
      <c r="E268" s="4" t="s">
        <v>18</v>
      </c>
      <c r="F268" s="5">
        <v>7.61</v>
      </c>
      <c r="G268" s="3" t="s">
        <v>16</v>
      </c>
      <c r="H268" s="3" t="s">
        <v>16</v>
      </c>
      <c r="I268" s="4" t="s">
        <v>1019</v>
      </c>
      <c r="J268" s="1" t="d">
        <v>2022-12-28</v>
      </c>
      <c r="K268" s="9" t="s">
        <v>20</v>
      </c>
      <c r="L268" s="5">
        <v>185.82</v>
      </c>
      <c r="M268" s="1" t="d">
        <v>2022-12-27</v>
      </c>
      <c r="N268" s="10">
        <v>116.2</v>
      </c>
      <c r="O268" s="9" t="s">
        <v>50</v>
      </c>
    </row>
    <row r="269" spans="1:15" ht="36" x14ac:dyDescent="0.15">
      <c r="A269" s="1" t="d">
        <v>2022-10-27</v>
      </c>
      <c r="B269" s="3" t="s">
        <v>1020</v>
      </c>
      <c r="C269" s="3" t="s">
        <v>16</v>
      </c>
      <c r="D269" s="4" t="s">
        <v>17</v>
      </c>
      <c r="E269" s="4" t="s">
        <v>18</v>
      </c>
      <c r="F269" s="5">
        <v>1280.97</v>
      </c>
      <c r="G269" s="3" t="s">
        <v>1021</v>
      </c>
      <c r="H269" s="3" t="s">
        <v>1022</v>
      </c>
      <c r="I269" s="4" t="s">
        <v>1023</v>
      </c>
      <c r="J269" s="1" t="d">
        <v>2022-10-27</v>
      </c>
      <c r="K269" s="9" t="s">
        <v>20</v>
      </c>
      <c r="L269" s="5">
        <v>185.31</v>
      </c>
      <c r="M269" s="1" t="d">
        <v>2023-01-12</v>
      </c>
      <c r="N269" s="6" t="s">
        <v>16</v>
      </c>
      <c r="O269" s="9" t="s">
        <v>487</v>
      </c>
    </row>
    <row r="270" spans="1:15" ht="24" x14ac:dyDescent="0.15">
      <c r="A270" s="1" t="d">
        <v>2021-12-20</v>
      </c>
      <c r="B270" s="3" t="s">
        <v>734</v>
      </c>
      <c r="C270" s="3" t="s">
        <v>735</v>
      </c>
      <c r="D270" s="4" t="s">
        <v>17</v>
      </c>
      <c r="E270" s="4" t="s">
        <v>18</v>
      </c>
      <c r="F270" s="6" t="s">
        <v>16</v>
      </c>
      <c r="G270" s="3" t="s">
        <v>1024</v>
      </c>
      <c r="H270" s="3" t="s">
        <v>16</v>
      </c>
      <c r="I270" s="4" t="s">
        <v>1025</v>
      </c>
      <c r="J270" s="1" t="d">
        <v>2021-12-20</v>
      </c>
      <c r="K270" s="9" t="s">
        <v>20</v>
      </c>
      <c r="L270" s="5">
        <v>185.28</v>
      </c>
      <c r="M270" s="1" t="d">
        <v>2021-12-20</v>
      </c>
      <c r="N270" s="10">
        <v>83.5</v>
      </c>
      <c r="O270" s="9" t="s">
        <v>96</v>
      </c>
    </row>
    <row r="271" spans="1:15" ht="12" x14ac:dyDescent="0.15">
      <c r="A271" s="1" t="d">
        <v>2023-02-22</v>
      </c>
      <c r="B271" s="3" t="s">
        <v>1026</v>
      </c>
      <c r="C271" s="3" t="s">
        <v>16</v>
      </c>
      <c r="D271" s="4" t="s">
        <v>17</v>
      </c>
      <c r="E271" s="4" t="s">
        <v>18</v>
      </c>
      <c r="F271" s="5">
        <v>96.56</v>
      </c>
      <c r="G271" s="3" t="s">
        <v>1027</v>
      </c>
      <c r="H271" s="3" t="s">
        <v>1028</v>
      </c>
      <c r="I271" s="4" t="s">
        <v>1029</v>
      </c>
      <c r="J271" s="1" t="d">
        <v>2023-02-22</v>
      </c>
      <c r="K271" s="9" t="s">
        <v>20</v>
      </c>
      <c r="L271" s="5">
        <v>184.56</v>
      </c>
      <c r="M271" s="1" t="d">
        <v>2023-04-24</v>
      </c>
      <c r="N271" s="6" t="s">
        <v>16</v>
      </c>
      <c r="O271" s="9" t="s">
        <v>381</v>
      </c>
    </row>
    <row r="272" spans="1:15" ht="12" x14ac:dyDescent="0.15">
      <c r="A272" s="1" t="d">
        <v>2025-09-18</v>
      </c>
      <c r="B272" s="3" t="s">
        <v>1030</v>
      </c>
      <c r="C272" s="3" t="s">
        <v>1031</v>
      </c>
      <c r="D272" s="4" t="s">
        <v>17</v>
      </c>
      <c r="E272" s="4" t="s">
        <v>18</v>
      </c>
      <c r="F272" s="5">
        <v>62.37</v>
      </c>
      <c r="G272" s="3" t="s">
        <v>768</v>
      </c>
      <c r="H272" s="3" t="s">
        <v>1032</v>
      </c>
      <c r="I272" s="4" t="s">
        <v>1033</v>
      </c>
      <c r="J272" s="1" t="d">
        <v>2025-09-18</v>
      </c>
      <c r="K272" s="9" t="s">
        <v>20</v>
      </c>
      <c r="L272" s="5">
        <v>183.2</v>
      </c>
      <c r="M272" s="1" t="d">
        <v>2025-11-14</v>
      </c>
      <c r="N272" s="10">
        <v>19.7</v>
      </c>
      <c r="O272" s="9" t="s">
        <v>50</v>
      </c>
    </row>
    <row r="273" spans="1:15" ht="12" x14ac:dyDescent="0.15">
      <c r="A273" s="1" t="d">
        <v>2023-03-23</v>
      </c>
      <c r="B273" s="3" t="s">
        <v>1034</v>
      </c>
      <c r="C273" s="3" t="s">
        <v>1035</v>
      </c>
      <c r="D273" s="4" t="s">
        <v>17</v>
      </c>
      <c r="E273" s="4" t="s">
        <v>18</v>
      </c>
      <c r="F273" s="5">
        <v>40.200000000000003</v>
      </c>
      <c r="G273" s="3" t="s">
        <v>16</v>
      </c>
      <c r="H273" s="3" t="s">
        <v>16</v>
      </c>
      <c r="I273" s="4" t="s">
        <v>1036</v>
      </c>
      <c r="J273" s="1" t="d">
        <v>2023-03-23</v>
      </c>
      <c r="K273" s="9" t="s">
        <v>20</v>
      </c>
      <c r="L273" s="5">
        <v>178.77</v>
      </c>
      <c r="M273" s="1" t="d">
        <v>2023-04-28</v>
      </c>
      <c r="N273" s="10">
        <v>-19</v>
      </c>
      <c r="O273" s="9" t="s">
        <v>831</v>
      </c>
    </row>
    <row r="274" spans="1:15" ht="60" x14ac:dyDescent="0.15">
      <c r="A274" s="1" t="d">
        <v>2024-04-09</v>
      </c>
      <c r="B274" s="3" t="s">
        <v>1037</v>
      </c>
      <c r="C274" s="3" t="s">
        <v>16</v>
      </c>
      <c r="D274" s="4" t="s">
        <v>17</v>
      </c>
      <c r="E274" s="4" t="s">
        <v>18</v>
      </c>
      <c r="F274" s="6" t="s">
        <v>16</v>
      </c>
      <c r="G274" s="3" t="s">
        <v>1038</v>
      </c>
      <c r="H274" s="3" t="s">
        <v>1039</v>
      </c>
      <c r="I274" s="4" t="s">
        <v>1040</v>
      </c>
      <c r="J274" s="1" t="d">
        <v>2024-04-09</v>
      </c>
      <c r="K274" s="9" t="s">
        <v>20</v>
      </c>
      <c r="L274" s="5">
        <v>177.37</v>
      </c>
      <c r="M274" s="1" t="d">
        <v>2024-04-09</v>
      </c>
      <c r="N274" s="10">
        <v>28.4</v>
      </c>
      <c r="O274" s="9" t="s">
        <v>633</v>
      </c>
    </row>
    <row r="275" spans="1:15" ht="12" x14ac:dyDescent="0.15">
      <c r="A275" s="1" t="d">
        <v>2023-12-01</v>
      </c>
      <c r="B275" s="3" t="s">
        <v>1041</v>
      </c>
      <c r="C275" s="3" t="s">
        <v>16</v>
      </c>
      <c r="D275" s="4" t="s">
        <v>17</v>
      </c>
      <c r="E275" s="4" t="s">
        <v>18</v>
      </c>
      <c r="F275" s="5">
        <v>96.4</v>
      </c>
      <c r="G275" s="3" t="s">
        <v>1042</v>
      </c>
      <c r="H275" s="3" t="s">
        <v>1043</v>
      </c>
      <c r="I275" s="4" t="s">
        <v>1044</v>
      </c>
      <c r="J275" s="1" t="d">
        <v>2023-12-01</v>
      </c>
      <c r="K275" s="9" t="s">
        <v>20</v>
      </c>
      <c r="L275" s="5">
        <v>177.19</v>
      </c>
      <c r="M275" s="1" t="d">
        <v>2023-12-01</v>
      </c>
      <c r="N275" s="5">
        <v>-1.04</v>
      </c>
      <c r="O275" s="9" t="s">
        <v>50</v>
      </c>
    </row>
    <row r="276" spans="1:15" ht="24" x14ac:dyDescent="0.15">
      <c r="A276" s="1" t="d">
        <v>2025-12-18</v>
      </c>
      <c r="B276" s="3" t="s">
        <v>1045</v>
      </c>
      <c r="C276" s="3" t="s">
        <v>16</v>
      </c>
      <c r="D276" s="4" t="s">
        <v>17</v>
      </c>
      <c r="E276" s="4" t="s">
        <v>18</v>
      </c>
      <c r="F276" s="5">
        <v>240.72</v>
      </c>
      <c r="G276" s="3" t="s">
        <v>1046</v>
      </c>
      <c r="H276" s="3" t="s">
        <v>1047</v>
      </c>
      <c r="I276" s="4" t="s">
        <v>1048</v>
      </c>
      <c r="J276" s="1" t="d">
        <v>2025-12-18</v>
      </c>
      <c r="K276" s="9" t="s">
        <v>20</v>
      </c>
      <c r="L276" s="5">
        <v>176.14</v>
      </c>
      <c r="M276" s="1" t="d">
        <v>2026-04-20</v>
      </c>
      <c r="N276" s="6" t="s">
        <v>16</v>
      </c>
      <c r="O276" s="9" t="s">
        <v>1049</v>
      </c>
    </row>
    <row r="277" spans="1:15" ht="12" x14ac:dyDescent="0.15">
      <c r="A277" s="1" t="d">
        <v>2021-09-01</v>
      </c>
      <c r="B277" s="3" t="s">
        <v>1050</v>
      </c>
      <c r="C277" s="3" t="s">
        <v>16</v>
      </c>
      <c r="D277" s="4" t="s">
        <v>17</v>
      </c>
      <c r="E277" s="4" t="s">
        <v>18</v>
      </c>
      <c r="F277" s="6" t="s">
        <v>16</v>
      </c>
      <c r="G277" s="3" t="s">
        <v>1051</v>
      </c>
      <c r="H277" s="3" t="s">
        <v>16</v>
      </c>
      <c r="I277" s="4" t="s">
        <v>1052</v>
      </c>
      <c r="J277" s="1" t="d">
        <v>2021-09-01</v>
      </c>
      <c r="K277" s="9" t="s">
        <v>20</v>
      </c>
      <c r="L277" s="5">
        <v>174.23</v>
      </c>
      <c r="M277" s="1" t="d">
        <v>2021-09-01</v>
      </c>
      <c r="N277" s="10">
        <v>10.4</v>
      </c>
      <c r="O277" s="9" t="s">
        <v>340</v>
      </c>
    </row>
    <row r="278" spans="1:15" ht="12" x14ac:dyDescent="0.15">
      <c r="A278" s="1" t="d">
        <v>2024-03-28</v>
      </c>
      <c r="B278" s="3" t="s">
        <v>1053</v>
      </c>
      <c r="C278" s="3" t="s">
        <v>16</v>
      </c>
      <c r="D278" s="4" t="s">
        <v>17</v>
      </c>
      <c r="E278" s="4" t="s">
        <v>18</v>
      </c>
      <c r="F278" s="6" t="s">
        <v>16</v>
      </c>
      <c r="G278" s="3" t="s">
        <v>169</v>
      </c>
      <c r="H278" s="3" t="s">
        <v>16</v>
      </c>
      <c r="I278" s="4" t="s">
        <v>1054</v>
      </c>
      <c r="J278" s="1" t="d">
        <v>2024-03-28</v>
      </c>
      <c r="K278" s="9" t="s">
        <v>20</v>
      </c>
      <c r="L278" s="5">
        <v>173.55</v>
      </c>
      <c r="M278" s="1" t="d">
        <v>2024-04-03</v>
      </c>
      <c r="N278" s="6" t="s">
        <v>16</v>
      </c>
      <c r="O278" s="9" t="s">
        <v>633</v>
      </c>
    </row>
    <row r="279" spans="1:15" ht="12" x14ac:dyDescent="0.15">
      <c r="A279" s="1" t="d">
        <v>2025-09-30</v>
      </c>
      <c r="B279" s="3" t="s">
        <v>1055</v>
      </c>
      <c r="C279" s="3" t="s">
        <v>16</v>
      </c>
      <c r="D279" s="4" t="s">
        <v>17</v>
      </c>
      <c r="E279" s="4" t="s">
        <v>18</v>
      </c>
      <c r="F279" s="5">
        <v>250</v>
      </c>
      <c r="G279" s="3" t="s">
        <v>1056</v>
      </c>
      <c r="H279" s="3" t="s">
        <v>1057</v>
      </c>
      <c r="I279" s="4" t="s">
        <v>1058</v>
      </c>
      <c r="J279" s="1" t="d">
        <v>2025-09-30</v>
      </c>
      <c r="K279" s="9" t="s">
        <v>20</v>
      </c>
      <c r="L279" s="5">
        <v>172.2</v>
      </c>
      <c r="M279" s="1" t="d">
        <v>2025-11-05</v>
      </c>
      <c r="N279" s="6" t="s">
        <v>16</v>
      </c>
      <c r="O279" s="9" t="s">
        <v>101</v>
      </c>
    </row>
    <row r="280" spans="1:15" ht="24" x14ac:dyDescent="0.15">
      <c r="A280" s="1" t="d">
        <v>2021-12-03</v>
      </c>
      <c r="B280" s="3" t="s">
        <v>1059</v>
      </c>
      <c r="C280" s="3" t="s">
        <v>16</v>
      </c>
      <c r="D280" s="4" t="s">
        <v>17</v>
      </c>
      <c r="E280" s="4" t="s">
        <v>18</v>
      </c>
      <c r="F280" s="5">
        <v>75.2</v>
      </c>
      <c r="G280" s="3" t="s">
        <v>1060</v>
      </c>
      <c r="H280" s="3" t="s">
        <v>16</v>
      </c>
      <c r="I280" s="4" t="s">
        <v>1061</v>
      </c>
      <c r="J280" s="1" t="d">
        <v>2021-12-03</v>
      </c>
      <c r="K280" s="9" t="s">
        <v>20</v>
      </c>
      <c r="L280" s="5">
        <v>172.2</v>
      </c>
      <c r="M280" s="1" t="d">
        <v>2022-01-24</v>
      </c>
      <c r="N280" s="6" t="s">
        <v>16</v>
      </c>
      <c r="O280" s="9" t="s">
        <v>1062</v>
      </c>
    </row>
    <row r="281" spans="1:15" ht="36" x14ac:dyDescent="0.15">
      <c r="A281" s="1" t="d">
        <v>2022-09-06</v>
      </c>
      <c r="B281" s="3" t="s">
        <v>1063</v>
      </c>
      <c r="C281" s="3" t="s">
        <v>16</v>
      </c>
      <c r="D281" s="4" t="s">
        <v>17</v>
      </c>
      <c r="E281" s="4" t="s">
        <v>18</v>
      </c>
      <c r="F281" s="5">
        <v>732.72</v>
      </c>
      <c r="G281" s="3" t="s">
        <v>1064</v>
      </c>
      <c r="H281" s="3" t="s">
        <v>1065</v>
      </c>
      <c r="I281" s="4" t="s">
        <v>1066</v>
      </c>
      <c r="J281" s="1" t="d">
        <v>2022-09-06</v>
      </c>
      <c r="K281" s="9" t="s">
        <v>20</v>
      </c>
      <c r="L281" s="5">
        <v>172.12</v>
      </c>
      <c r="M281" s="1" t="d">
        <v>2022-11-15</v>
      </c>
      <c r="N281" s="6" t="s">
        <v>16</v>
      </c>
      <c r="O281" s="9" t="s">
        <v>40</v>
      </c>
    </row>
    <row r="282" spans="1:15" ht="36" x14ac:dyDescent="0.15">
      <c r="A282" s="1" t="d">
        <v>2022-04-14</v>
      </c>
      <c r="B282" s="3" t="s">
        <v>1067</v>
      </c>
      <c r="C282" s="3" t="s">
        <v>16</v>
      </c>
      <c r="D282" s="4" t="s">
        <v>17</v>
      </c>
      <c r="E282" s="4" t="s">
        <v>18</v>
      </c>
      <c r="F282" s="5">
        <v>605.54999999999995</v>
      </c>
      <c r="G282" s="3" t="s">
        <v>1068</v>
      </c>
      <c r="H282" s="3" t="s">
        <v>1069</v>
      </c>
      <c r="I282" s="4" t="s">
        <v>1070</v>
      </c>
      <c r="J282" s="1" t="d">
        <v>2022-04-14</v>
      </c>
      <c r="K282" s="9" t="s">
        <v>20</v>
      </c>
      <c r="L282" s="5">
        <v>171.4</v>
      </c>
      <c r="M282" s="1" t="d">
        <v>2022-06-21</v>
      </c>
      <c r="N282" s="6" t="s">
        <v>16</v>
      </c>
      <c r="O282" s="9" t="s">
        <v>1071</v>
      </c>
    </row>
    <row r="283" spans="1:15" ht="24" x14ac:dyDescent="0.15">
      <c r="A283" s="1" t="d">
        <v>2026-04-27</v>
      </c>
      <c r="B283" s="3" t="s">
        <v>1072</v>
      </c>
      <c r="C283" s="3" t="s">
        <v>16</v>
      </c>
      <c r="D283" s="4" t="s">
        <v>17</v>
      </c>
      <c r="E283" s="4" t="s">
        <v>18</v>
      </c>
      <c r="F283" s="5">
        <v>203.11</v>
      </c>
      <c r="G283" s="3" t="s">
        <v>1073</v>
      </c>
      <c r="H283" s="3" t="s">
        <v>16</v>
      </c>
      <c r="I283" s="4" t="s">
        <v>1074</v>
      </c>
      <c r="J283" s="1" t="d">
        <v>2026-04-27</v>
      </c>
      <c r="K283" s="9" t="s">
        <v>20</v>
      </c>
      <c r="L283" s="5">
        <v>171.25</v>
      </c>
      <c r="M283" s="1" t="d">
        <v>2026-08-18</v>
      </c>
      <c r="N283" s="10">
        <v>15.7</v>
      </c>
      <c r="O283" s="9" t="s">
        <v>1075</v>
      </c>
    </row>
    <row r="284" spans="1:15" ht="24" x14ac:dyDescent="0.15">
      <c r="A284" s="1" t="d">
        <v>2025-12-04</v>
      </c>
      <c r="B284" s="3" t="s">
        <v>1076</v>
      </c>
      <c r="C284" s="3" t="s">
        <v>16</v>
      </c>
      <c r="D284" s="4" t="s">
        <v>17</v>
      </c>
      <c r="E284" s="4" t="s">
        <v>18</v>
      </c>
      <c r="F284" s="5">
        <v>297.14</v>
      </c>
      <c r="G284" s="3" t="s">
        <v>1077</v>
      </c>
      <c r="H284" s="3" t="s">
        <v>1078</v>
      </c>
      <c r="I284" s="4" t="s">
        <v>1079</v>
      </c>
      <c r="J284" s="1" t="d">
        <v>2025-12-04</v>
      </c>
      <c r="K284" s="9" t="s">
        <v>20</v>
      </c>
      <c r="L284" s="5">
        <v>170.91</v>
      </c>
      <c r="M284" s="1" t="d">
        <v>2026-02-13</v>
      </c>
      <c r="N284" s="10">
        <v>32.6</v>
      </c>
      <c r="O284" s="9" t="s">
        <v>101</v>
      </c>
    </row>
    <row r="285" spans="1:15" ht="12" x14ac:dyDescent="0.15">
      <c r="A285" s="1" t="d">
        <v>2024-11-27</v>
      </c>
      <c r="B285" s="3" t="s">
        <v>1080</v>
      </c>
      <c r="C285" s="3" t="s">
        <v>1081</v>
      </c>
      <c r="D285" s="4" t="s">
        <v>17</v>
      </c>
      <c r="E285" s="4" t="s">
        <v>18</v>
      </c>
      <c r="F285" s="6" t="s">
        <v>16</v>
      </c>
      <c r="G285" s="3" t="s">
        <v>1082</v>
      </c>
      <c r="H285" s="3" t="s">
        <v>1083</v>
      </c>
      <c r="I285" s="4" t="s">
        <v>1084</v>
      </c>
      <c r="J285" s="1" t="d">
        <v>2024-11-27</v>
      </c>
      <c r="K285" s="9" t="s">
        <v>20</v>
      </c>
      <c r="L285" s="5">
        <v>170.17</v>
      </c>
      <c r="M285" s="1" t="d">
        <v>2024-11-01</v>
      </c>
      <c r="N285" s="10">
        <v>19.7</v>
      </c>
      <c r="O285" s="9" t="s">
        <v>50</v>
      </c>
    </row>
    <row r="286" spans="1:15" ht="12" x14ac:dyDescent="0.15">
      <c r="A286" s="1" t="d">
        <v>2026-05-29</v>
      </c>
      <c r="B286" s="3" t="s">
        <v>1085</v>
      </c>
      <c r="C286" s="3" t="s">
        <v>16</v>
      </c>
      <c r="D286" s="4" t="s">
        <v>17</v>
      </c>
      <c r="E286" s="4" t="s">
        <v>18</v>
      </c>
      <c r="F286" s="5">
        <v>800</v>
      </c>
      <c r="G286" s="3" t="s">
        <v>1086</v>
      </c>
      <c r="H286" s="3" t="s">
        <v>1087</v>
      </c>
      <c r="I286" s="4" t="s">
        <v>1088</v>
      </c>
      <c r="J286" s="1" t="d">
        <v>2026-05-29</v>
      </c>
      <c r="K286" s="9" t="s">
        <v>20</v>
      </c>
      <c r="L286" s="5">
        <v>170</v>
      </c>
      <c r="M286" s="1" t="d">
        <v>2026-08-21</v>
      </c>
      <c r="N286" s="6" t="s">
        <v>16</v>
      </c>
      <c r="O286" s="9" t="s">
        <v>40</v>
      </c>
    </row>
    <row r="287" spans="1:15" ht="12" x14ac:dyDescent="0.15">
      <c r="A287" s="1" t="d">
        <v>2024-10-30</v>
      </c>
      <c r="B287" s="3" t="s">
        <v>1089</v>
      </c>
      <c r="C287" s="3" t="s">
        <v>16</v>
      </c>
      <c r="D287" s="4" t="s">
        <v>17</v>
      </c>
      <c r="E287" s="4" t="s">
        <v>18</v>
      </c>
      <c r="F287" s="6" t="s">
        <v>16</v>
      </c>
      <c r="G287" s="3" t="s">
        <v>1090</v>
      </c>
      <c r="H287" s="3" t="s">
        <v>16</v>
      </c>
      <c r="I287" s="4" t="s">
        <v>1091</v>
      </c>
      <c r="J287" s="1" t="d">
        <v>2024-10-30</v>
      </c>
      <c r="K287" s="9" t="s">
        <v>20</v>
      </c>
      <c r="L287" s="5">
        <v>168.08</v>
      </c>
      <c r="M287" s="1" t="d">
        <v>2024-10-31</v>
      </c>
      <c r="N287" s="6" t="s">
        <v>16</v>
      </c>
      <c r="O287" s="9" t="s">
        <v>139</v>
      </c>
    </row>
    <row r="288" spans="1:15" ht="12" x14ac:dyDescent="0.15">
      <c r="A288" s="1" t="d">
        <v>2022-12-12</v>
      </c>
      <c r="B288" s="3" t="s">
        <v>1092</v>
      </c>
      <c r="C288" s="3" t="s">
        <v>16</v>
      </c>
      <c r="D288" s="4" t="s">
        <v>17</v>
      </c>
      <c r="E288" s="4" t="s">
        <v>18</v>
      </c>
      <c r="F288" s="5">
        <v>504.6</v>
      </c>
      <c r="G288" s="3" t="s">
        <v>1077</v>
      </c>
      <c r="H288" s="3" t="s">
        <v>16</v>
      </c>
      <c r="I288" s="4" t="s">
        <v>1093</v>
      </c>
      <c r="J288" s="1" t="d">
        <v>2022-12-12</v>
      </c>
      <c r="K288" s="9" t="s">
        <v>20</v>
      </c>
      <c r="L288" s="5">
        <v>167</v>
      </c>
      <c r="M288" s="1" t="d">
        <v>2023-02-22</v>
      </c>
      <c r="N288" s="6" t="s">
        <v>16</v>
      </c>
      <c r="O288" s="9" t="s">
        <v>340</v>
      </c>
    </row>
    <row r="289" spans="1:15" ht="48" x14ac:dyDescent="0.15">
      <c r="A289" s="1" t="d">
        <v>2024-08-26</v>
      </c>
      <c r="B289" s="3" t="s">
        <v>1094</v>
      </c>
      <c r="C289" s="3" t="s">
        <v>16</v>
      </c>
      <c r="D289" s="4" t="s">
        <v>17</v>
      </c>
      <c r="E289" s="4" t="s">
        <v>18</v>
      </c>
      <c r="F289" s="5">
        <v>239.79</v>
      </c>
      <c r="G289" s="3" t="s">
        <v>1095</v>
      </c>
      <c r="H289" s="3" t="s">
        <v>16</v>
      </c>
      <c r="I289" s="4" t="s">
        <v>1096</v>
      </c>
      <c r="J289" s="1" t="d">
        <v>2024-08-26</v>
      </c>
      <c r="K289" s="9" t="s">
        <v>20</v>
      </c>
      <c r="L289" s="5">
        <v>166.08</v>
      </c>
      <c r="M289" s="1" t="d">
        <v>2024-11-18</v>
      </c>
      <c r="N289" s="6" t="s">
        <v>16</v>
      </c>
      <c r="O289" s="9" t="s">
        <v>1097</v>
      </c>
    </row>
    <row r="290" spans="1:15" ht="24" x14ac:dyDescent="0.15">
      <c r="A290" s="1" t="d">
        <v>2023-03-01</v>
      </c>
      <c r="B290" s="3" t="s">
        <v>1098</v>
      </c>
      <c r="C290" s="3" t="s">
        <v>16</v>
      </c>
      <c r="D290" s="4" t="s">
        <v>17</v>
      </c>
      <c r="E290" s="4" t="s">
        <v>18</v>
      </c>
      <c r="F290" s="5">
        <v>344.85</v>
      </c>
      <c r="G290" s="3" t="s">
        <v>1099</v>
      </c>
      <c r="H290" s="3" t="s">
        <v>16</v>
      </c>
      <c r="I290" s="4" t="s">
        <v>1100</v>
      </c>
      <c r="J290" s="1" t="d">
        <v>2023-03-01</v>
      </c>
      <c r="K290" s="9" t="s">
        <v>20</v>
      </c>
      <c r="L290" s="5">
        <v>163.43</v>
      </c>
      <c r="M290" s="1" t="d">
        <v>2023-05-16</v>
      </c>
      <c r="N290" s="6" t="s">
        <v>16</v>
      </c>
      <c r="O290" s="9" t="s">
        <v>1101</v>
      </c>
    </row>
    <row r="291" spans="1:15" ht="36" x14ac:dyDescent="0.15">
      <c r="A291" s="1" t="d">
        <v>2026-05-14</v>
      </c>
      <c r="B291" s="3" t="s">
        <v>1102</v>
      </c>
      <c r="C291" s="3" t="s">
        <v>1103</v>
      </c>
      <c r="D291" s="4" t="s">
        <v>17</v>
      </c>
      <c r="E291" s="4" t="s">
        <v>18</v>
      </c>
      <c r="F291" s="5">
        <v>56.01</v>
      </c>
      <c r="G291" s="3" t="s">
        <v>1104</v>
      </c>
      <c r="H291" s="3" t="s">
        <v>1105</v>
      </c>
      <c r="I291" s="4" t="s">
        <v>1106</v>
      </c>
      <c r="J291" s="1" t="d">
        <v>2026-05-14</v>
      </c>
      <c r="K291" s="9" t="s">
        <v>20</v>
      </c>
      <c r="L291" s="5">
        <v>161.85</v>
      </c>
      <c r="M291" s="1" t="d">
        <v>2026-07-08</v>
      </c>
      <c r="N291" s="10">
        <v>25.6</v>
      </c>
      <c r="O291" s="9" t="s">
        <v>1107</v>
      </c>
    </row>
    <row r="292" spans="1:15" ht="36" x14ac:dyDescent="0.15">
      <c r="A292" s="1" t="d">
        <v>2024-08-09</v>
      </c>
      <c r="B292" s="3" t="s">
        <v>1108</v>
      </c>
      <c r="C292" s="3" t="s">
        <v>1109</v>
      </c>
      <c r="D292" s="4" t="s">
        <v>17</v>
      </c>
      <c r="E292" s="4" t="s">
        <v>18</v>
      </c>
      <c r="F292" s="5">
        <v>37.54</v>
      </c>
      <c r="G292" s="3" t="s">
        <v>1110</v>
      </c>
      <c r="H292" s="3" t="s">
        <v>16</v>
      </c>
      <c r="I292" s="4" t="s">
        <v>1111</v>
      </c>
      <c r="J292" s="1" t="d">
        <v>2024-08-09</v>
      </c>
      <c r="K292" s="9" t="s">
        <v>20</v>
      </c>
      <c r="L292" s="5">
        <v>160.63999999999999</v>
      </c>
      <c r="M292" s="1" t="d">
        <v>2024-09-20</v>
      </c>
      <c r="N292" s="10">
        <v>10.7</v>
      </c>
      <c r="O292" s="9" t="s">
        <v>1112</v>
      </c>
    </row>
    <row r="293" spans="1:15" ht="24" x14ac:dyDescent="0.15">
      <c r="A293" s="1" t="d">
        <v>2021-11-02</v>
      </c>
      <c r="B293" s="3" t="s">
        <v>483</v>
      </c>
      <c r="C293" s="3" t="s">
        <v>1113</v>
      </c>
      <c r="D293" s="4" t="s">
        <v>17</v>
      </c>
      <c r="E293" s="4" t="s">
        <v>18</v>
      </c>
      <c r="F293" s="5">
        <v>5.88</v>
      </c>
      <c r="G293" s="3" t="s">
        <v>481</v>
      </c>
      <c r="H293" s="3" t="s">
        <v>16</v>
      </c>
      <c r="I293" s="4" t="s">
        <v>1114</v>
      </c>
      <c r="J293" s="1" t="d">
        <v>2021-11-02</v>
      </c>
      <c r="K293" s="9" t="s">
        <v>20</v>
      </c>
      <c r="L293" s="5">
        <v>160.63</v>
      </c>
      <c r="M293" s="1" t="d">
        <v>2021-11-02</v>
      </c>
      <c r="N293" s="10">
        <v>27.3</v>
      </c>
      <c r="O293" s="9" t="s">
        <v>65</v>
      </c>
    </row>
    <row r="294" spans="1:15" ht="36" x14ac:dyDescent="0.15">
      <c r="A294" s="1" t="d">
        <v>2024-04-22</v>
      </c>
      <c r="B294" s="3" t="s">
        <v>1115</v>
      </c>
      <c r="C294" s="3" t="s">
        <v>16</v>
      </c>
      <c r="D294" s="4" t="s">
        <v>17</v>
      </c>
      <c r="E294" s="4" t="s">
        <v>18</v>
      </c>
      <c r="F294" s="5">
        <v>2034.35</v>
      </c>
      <c r="G294" s="3" t="s">
        <v>1116</v>
      </c>
      <c r="H294" s="3" t="s">
        <v>1117</v>
      </c>
      <c r="I294" s="4" t="s">
        <v>1118</v>
      </c>
      <c r="J294" s="1" t="d">
        <v>2024-04-22</v>
      </c>
      <c r="K294" s="9" t="s">
        <v>20</v>
      </c>
      <c r="L294" s="5">
        <v>159.63</v>
      </c>
      <c r="M294" s="1" t="d">
        <v>2025-02-28</v>
      </c>
      <c r="N294" s="10">
        <v>-160.5</v>
      </c>
      <c r="O294" s="9" t="s">
        <v>1119</v>
      </c>
    </row>
    <row r="295" spans="1:15" ht="24" x14ac:dyDescent="0.15">
      <c r="A295" s="1" t="d">
        <v>2024-05-29</v>
      </c>
      <c r="B295" s="3" t="s">
        <v>1120</v>
      </c>
      <c r="C295" s="3" t="s">
        <v>16</v>
      </c>
      <c r="D295" s="4" t="s">
        <v>17</v>
      </c>
      <c r="E295" s="4" t="s">
        <v>18</v>
      </c>
      <c r="F295" s="5">
        <v>117.61</v>
      </c>
      <c r="G295" s="3" t="s">
        <v>1121</v>
      </c>
      <c r="H295" s="3" t="s">
        <v>1122</v>
      </c>
      <c r="I295" s="4" t="s">
        <v>1123</v>
      </c>
      <c r="J295" s="1" t="d">
        <v>2024-05-29</v>
      </c>
      <c r="K295" s="9" t="s">
        <v>20</v>
      </c>
      <c r="L295" s="5">
        <v>155.12</v>
      </c>
      <c r="M295" s="1" t="d">
        <v>2024-10-15</v>
      </c>
      <c r="N295" s="6" t="s">
        <v>16</v>
      </c>
      <c r="O295" s="9" t="s">
        <v>1124</v>
      </c>
    </row>
    <row r="296" spans="1:15" ht="12" x14ac:dyDescent="0.15">
      <c r="A296" s="1" t="d">
        <v>2025-12-30</v>
      </c>
      <c r="B296" s="3" t="s">
        <v>1125</v>
      </c>
      <c r="C296" s="3" t="s">
        <v>1126</v>
      </c>
      <c r="D296" s="4" t="s">
        <v>17</v>
      </c>
      <c r="E296" s="4" t="s">
        <v>18</v>
      </c>
      <c r="F296" s="5">
        <v>22.95</v>
      </c>
      <c r="G296" s="3" t="s">
        <v>1127</v>
      </c>
      <c r="H296" s="3" t="s">
        <v>16</v>
      </c>
      <c r="I296" s="4" t="s">
        <v>1128</v>
      </c>
      <c r="J296" s="1" t="d">
        <v>2025-12-30</v>
      </c>
      <c r="K296" s="9" t="s">
        <v>20</v>
      </c>
      <c r="L296" s="5">
        <v>154.79</v>
      </c>
      <c r="M296" s="1" t="d">
        <v>2026-03-23</v>
      </c>
      <c r="N296" s="10">
        <v>11.9</v>
      </c>
      <c r="O296" s="9" t="s">
        <v>50</v>
      </c>
    </row>
    <row r="297" spans="1:15" ht="24" x14ac:dyDescent="0.15">
      <c r="A297" s="1" t="d">
        <v>2022-03-21</v>
      </c>
      <c r="B297" s="3" t="s">
        <v>1129</v>
      </c>
      <c r="C297" s="3" t="s">
        <v>16</v>
      </c>
      <c r="D297" s="4" t="s">
        <v>17</v>
      </c>
      <c r="E297" s="4" t="s">
        <v>18</v>
      </c>
      <c r="F297" s="6" t="s">
        <v>16</v>
      </c>
      <c r="G297" s="3" t="s">
        <v>1130</v>
      </c>
      <c r="H297" s="3" t="s">
        <v>16</v>
      </c>
      <c r="I297" s="4" t="s">
        <v>1131</v>
      </c>
      <c r="J297" s="1" t="d">
        <v>2022-03-21</v>
      </c>
      <c r="K297" s="9" t="s">
        <v>20</v>
      </c>
      <c r="L297" s="5">
        <v>154.63</v>
      </c>
      <c r="M297" s="1" t="d">
        <v>2022-09-13</v>
      </c>
      <c r="N297" s="5">
        <v>-3.94</v>
      </c>
      <c r="O297" s="9" t="s">
        <v>1132</v>
      </c>
    </row>
    <row r="298" spans="1:15" ht="12" x14ac:dyDescent="0.15">
      <c r="A298" s="1" t="d">
        <v>2021-11-09</v>
      </c>
      <c r="B298" s="3" t="s">
        <v>1133</v>
      </c>
      <c r="C298" s="3" t="s">
        <v>16</v>
      </c>
      <c r="D298" s="4" t="s">
        <v>17</v>
      </c>
      <c r="E298" s="4" t="s">
        <v>18</v>
      </c>
      <c r="F298" s="5">
        <v>463</v>
      </c>
      <c r="G298" s="3" t="s">
        <v>1134</v>
      </c>
      <c r="H298" s="3" t="s">
        <v>1135</v>
      </c>
      <c r="I298" s="4" t="s">
        <v>1136</v>
      </c>
      <c r="J298" s="1" t="d">
        <v>2021-11-09</v>
      </c>
      <c r="K298" s="9" t="s">
        <v>20</v>
      </c>
      <c r="L298" s="5">
        <v>153.27000000000001</v>
      </c>
      <c r="M298" s="1" t="d">
        <v>2021-12-13</v>
      </c>
      <c r="N298" s="6" t="s">
        <v>16</v>
      </c>
      <c r="O298" s="9" t="s">
        <v>40</v>
      </c>
    </row>
    <row r="299" spans="1:15" ht="12" x14ac:dyDescent="0.15">
      <c r="A299" s="1" t="d">
        <v>2024-08-06</v>
      </c>
      <c r="B299" s="3" t="s">
        <v>1137</v>
      </c>
      <c r="C299" s="3" t="s">
        <v>16</v>
      </c>
      <c r="D299" s="4" t="s">
        <v>17</v>
      </c>
      <c r="E299" s="4" t="s">
        <v>18</v>
      </c>
      <c r="F299" s="6" t="s">
        <v>16</v>
      </c>
      <c r="G299" s="3" t="s">
        <v>1138</v>
      </c>
      <c r="H299" s="3" t="s">
        <v>16</v>
      </c>
      <c r="I299" s="4" t="s">
        <v>1139</v>
      </c>
      <c r="J299" s="1" t="d">
        <v>2024-08-06</v>
      </c>
      <c r="K299" s="9" t="s">
        <v>20</v>
      </c>
      <c r="L299" s="5">
        <v>152.16</v>
      </c>
      <c r="M299" s="1" t="d">
        <v>2024-09-30</v>
      </c>
      <c r="N299" s="6" t="s">
        <v>16</v>
      </c>
      <c r="O299" s="9" t="s">
        <v>139</v>
      </c>
    </row>
    <row r="300" spans="1:15" ht="12" x14ac:dyDescent="0.15">
      <c r="A300" s="1" t="d">
        <v>2023-05-26</v>
      </c>
      <c r="B300" s="3" t="s">
        <v>1140</v>
      </c>
      <c r="C300" s="3" t="s">
        <v>16</v>
      </c>
      <c r="D300" s="4" t="s">
        <v>17</v>
      </c>
      <c r="E300" s="4" t="s">
        <v>18</v>
      </c>
      <c r="F300" s="6" t="s">
        <v>16</v>
      </c>
      <c r="G300" s="3" t="s">
        <v>1141</v>
      </c>
      <c r="H300" s="3" t="s">
        <v>1142</v>
      </c>
      <c r="I300" s="4" t="s">
        <v>1143</v>
      </c>
      <c r="J300" s="1" t="d">
        <v>2023-05-26</v>
      </c>
      <c r="K300" s="9" t="s">
        <v>20</v>
      </c>
      <c r="L300" s="5">
        <v>149.84</v>
      </c>
      <c r="M300" s="1" t="d">
        <v>2023-05-26</v>
      </c>
      <c r="N300" s="6" t="s">
        <v>16</v>
      </c>
      <c r="O300" s="9" t="s">
        <v>633</v>
      </c>
    </row>
    <row r="301" spans="1:15" ht="36" x14ac:dyDescent="0.15">
      <c r="A301" s="1" t="d">
        <v>2023-05-23</v>
      </c>
      <c r="B301" s="3" t="s">
        <v>1144</v>
      </c>
      <c r="C301" s="3" t="s">
        <v>16</v>
      </c>
      <c r="D301" s="4" t="s">
        <v>17</v>
      </c>
      <c r="E301" s="4" t="s">
        <v>18</v>
      </c>
      <c r="F301" s="5">
        <v>272.97000000000003</v>
      </c>
      <c r="G301" s="3" t="s">
        <v>1145</v>
      </c>
      <c r="H301" s="3" t="s">
        <v>16</v>
      </c>
      <c r="I301" s="4" t="s">
        <v>1146</v>
      </c>
      <c r="J301" s="1" t="d">
        <v>2023-05-23</v>
      </c>
      <c r="K301" s="9" t="s">
        <v>20</v>
      </c>
      <c r="L301" s="5">
        <v>148.97999999999999</v>
      </c>
      <c r="M301" s="1" t="d">
        <v>2023-12-29</v>
      </c>
      <c r="N301" s="6" t="s">
        <v>16</v>
      </c>
      <c r="O301" s="9" t="s">
        <v>1147</v>
      </c>
    </row>
    <row r="302" spans="1:15" ht="12" x14ac:dyDescent="0.15">
      <c r="A302" s="1" t="d">
        <v>2023-10-10</v>
      </c>
      <c r="B302" s="3" t="s">
        <v>1148</v>
      </c>
      <c r="C302" s="3" t="s">
        <v>16</v>
      </c>
      <c r="D302" s="4" t="s">
        <v>17</v>
      </c>
      <c r="E302" s="4" t="s">
        <v>18</v>
      </c>
      <c r="F302" s="5">
        <v>39.229999999999997</v>
      </c>
      <c r="G302" s="3" t="s">
        <v>1149</v>
      </c>
      <c r="H302" s="3" t="s">
        <v>1150</v>
      </c>
      <c r="I302" s="4" t="s">
        <v>1151</v>
      </c>
      <c r="J302" s="1" t="d">
        <v>2023-10-10</v>
      </c>
      <c r="K302" s="9" t="s">
        <v>20</v>
      </c>
      <c r="L302" s="5">
        <v>148.79</v>
      </c>
      <c r="M302" s="1" t="d">
        <v>2024-04-02</v>
      </c>
      <c r="N302" s="6" t="s">
        <v>16</v>
      </c>
      <c r="O302" s="9" t="s">
        <v>212</v>
      </c>
    </row>
    <row r="303" spans="1:15" ht="12" x14ac:dyDescent="0.15">
      <c r="A303" s="1" t="d">
        <v>2023-06-28</v>
      </c>
      <c r="B303" s="3" t="s">
        <v>990</v>
      </c>
      <c r="C303" s="3" t="s">
        <v>991</v>
      </c>
      <c r="D303" s="4" t="s">
        <v>17</v>
      </c>
      <c r="E303" s="4" t="s">
        <v>18</v>
      </c>
      <c r="F303" s="5">
        <v>7.38</v>
      </c>
      <c r="G303" s="3" t="s">
        <v>16</v>
      </c>
      <c r="H303" s="3" t="s">
        <v>1152</v>
      </c>
      <c r="I303" s="4" t="s">
        <v>1153</v>
      </c>
      <c r="J303" s="1" t="d">
        <v>2023-06-28</v>
      </c>
      <c r="K303" s="9" t="s">
        <v>20</v>
      </c>
      <c r="L303" s="5">
        <v>148.63999999999999</v>
      </c>
      <c r="M303" s="1" t="d">
        <v>2023-06-26</v>
      </c>
      <c r="N303" s="5">
        <v>4.6100000000000003</v>
      </c>
      <c r="O303" s="9" t="s">
        <v>831</v>
      </c>
    </row>
    <row r="304" spans="1:15" ht="12" x14ac:dyDescent="0.15">
      <c r="A304" s="1" t="d">
        <v>2022-06-22</v>
      </c>
      <c r="B304" s="3" t="s">
        <v>1154</v>
      </c>
      <c r="C304" s="3" t="s">
        <v>16</v>
      </c>
      <c r="D304" s="4" t="s">
        <v>17</v>
      </c>
      <c r="E304" s="4" t="s">
        <v>18</v>
      </c>
      <c r="F304" s="6" t="s">
        <v>16</v>
      </c>
      <c r="G304" s="3" t="s">
        <v>252</v>
      </c>
      <c r="H304" s="3" t="s">
        <v>1155</v>
      </c>
      <c r="I304" s="4" t="s">
        <v>1156</v>
      </c>
      <c r="J304" s="1" t="d">
        <v>2022-06-22</v>
      </c>
      <c r="K304" s="9" t="s">
        <v>20</v>
      </c>
      <c r="L304" s="5">
        <v>148.32</v>
      </c>
      <c r="M304" s="1" t="d">
        <v>2022-06-30</v>
      </c>
      <c r="N304" s="6" t="s">
        <v>16</v>
      </c>
      <c r="O304" s="9" t="s">
        <v>633</v>
      </c>
    </row>
    <row r="305" spans="1:15" ht="24" x14ac:dyDescent="0.15">
      <c r="A305" s="1" t="d">
        <v>2024-12-13</v>
      </c>
      <c r="B305" s="3" t="s">
        <v>1157</v>
      </c>
      <c r="C305" s="3" t="s">
        <v>1158</v>
      </c>
      <c r="D305" s="4" t="s">
        <v>17</v>
      </c>
      <c r="E305" s="4" t="s">
        <v>18</v>
      </c>
      <c r="F305" s="6" t="s">
        <v>16</v>
      </c>
      <c r="G305" s="3" t="s">
        <v>1159</v>
      </c>
      <c r="H305" s="3" t="s">
        <v>1160</v>
      </c>
      <c r="I305" s="4" t="s">
        <v>1161</v>
      </c>
      <c r="J305" s="1" t="d">
        <v>2024-12-13</v>
      </c>
      <c r="K305" s="9" t="s">
        <v>20</v>
      </c>
      <c r="L305" s="5">
        <v>148.1</v>
      </c>
      <c r="M305" s="1" t="d">
        <v>2024-12-13</v>
      </c>
      <c r="N305" s="10">
        <v>27.1</v>
      </c>
      <c r="O305" s="9" t="s">
        <v>96</v>
      </c>
    </row>
    <row r="306" spans="1:15" ht="12" x14ac:dyDescent="0.15">
      <c r="A306" s="1" t="d">
        <v>2022-12-21</v>
      </c>
      <c r="B306" s="3" t="s">
        <v>1162</v>
      </c>
      <c r="C306" s="3" t="s">
        <v>16</v>
      </c>
      <c r="D306" s="4" t="s">
        <v>17</v>
      </c>
      <c r="E306" s="4" t="s">
        <v>18</v>
      </c>
      <c r="F306" s="5">
        <v>1093.6500000000001</v>
      </c>
      <c r="G306" s="3" t="s">
        <v>1163</v>
      </c>
      <c r="H306" s="3" t="s">
        <v>1164</v>
      </c>
      <c r="I306" s="4" t="s">
        <v>1165</v>
      </c>
      <c r="J306" s="1" t="d">
        <v>2022-12-21</v>
      </c>
      <c r="K306" s="9" t="s">
        <v>20</v>
      </c>
      <c r="L306" s="5">
        <v>148.08000000000001</v>
      </c>
      <c r="M306" s="1" t="d">
        <v>2023-06-30</v>
      </c>
      <c r="N306" s="6" t="s">
        <v>16</v>
      </c>
      <c r="O306" s="9" t="s">
        <v>340</v>
      </c>
    </row>
    <row r="307" spans="1:15" ht="48" x14ac:dyDescent="0.15">
      <c r="A307" s="1" t="d">
        <v>2023-11-07</v>
      </c>
      <c r="B307" s="3" t="s">
        <v>1166</v>
      </c>
      <c r="C307" s="3" t="s">
        <v>16</v>
      </c>
      <c r="D307" s="4" t="s">
        <v>17</v>
      </c>
      <c r="E307" s="4" t="s">
        <v>18</v>
      </c>
      <c r="F307" s="5">
        <v>438.2</v>
      </c>
      <c r="G307" s="3" t="s">
        <v>1167</v>
      </c>
      <c r="H307" s="3" t="s">
        <v>16</v>
      </c>
      <c r="I307" s="4" t="s">
        <v>1168</v>
      </c>
      <c r="J307" s="1" t="d">
        <v>2023-11-07</v>
      </c>
      <c r="K307" s="9" t="s">
        <v>20</v>
      </c>
      <c r="L307" s="5">
        <v>147.58000000000001</v>
      </c>
      <c r="M307" s="1" t="d">
        <v>2024-01-08</v>
      </c>
      <c r="N307" s="6" t="s">
        <v>16</v>
      </c>
      <c r="O307" s="9" t="s">
        <v>1169</v>
      </c>
    </row>
    <row r="308" spans="1:15" ht="36" x14ac:dyDescent="0.15">
      <c r="A308" s="1" t="d">
        <v>2024-07-08</v>
      </c>
      <c r="B308" s="3" t="s">
        <v>1170</v>
      </c>
      <c r="C308" s="3" t="s">
        <v>16</v>
      </c>
      <c r="D308" s="4" t="s">
        <v>17</v>
      </c>
      <c r="E308" s="4" t="s">
        <v>18</v>
      </c>
      <c r="F308" s="5">
        <v>601.79</v>
      </c>
      <c r="G308" s="3" t="s">
        <v>1171</v>
      </c>
      <c r="H308" s="3" t="s">
        <v>1172</v>
      </c>
      <c r="I308" s="4" t="s">
        <v>1173</v>
      </c>
      <c r="J308" s="1" t="d">
        <v>2024-07-08</v>
      </c>
      <c r="K308" s="9" t="s">
        <v>20</v>
      </c>
      <c r="L308" s="5">
        <v>146.35</v>
      </c>
      <c r="M308" s="1" t="d">
        <v>2024-10-16</v>
      </c>
      <c r="N308" s="6" t="s">
        <v>16</v>
      </c>
      <c r="O308" s="9" t="s">
        <v>1174</v>
      </c>
    </row>
    <row r="309" spans="1:15" ht="12" x14ac:dyDescent="0.15">
      <c r="A309" s="1" t="d">
        <v>2023-06-28</v>
      </c>
      <c r="B309" s="3" t="s">
        <v>1166</v>
      </c>
      <c r="C309" s="3" t="s">
        <v>16</v>
      </c>
      <c r="D309" s="4" t="s">
        <v>17</v>
      </c>
      <c r="E309" s="4" t="s">
        <v>18</v>
      </c>
      <c r="F309" s="5">
        <v>561.41999999999996</v>
      </c>
      <c r="G309" s="3" t="s">
        <v>1175</v>
      </c>
      <c r="H309" s="3" t="s">
        <v>1176</v>
      </c>
      <c r="I309" s="4" t="s">
        <v>1177</v>
      </c>
      <c r="J309" s="1" t="d">
        <v>2023-06-28</v>
      </c>
      <c r="K309" s="9" t="s">
        <v>20</v>
      </c>
      <c r="L309" s="5">
        <v>146.19</v>
      </c>
      <c r="M309" s="1" t="d">
        <v>2023-11-03</v>
      </c>
      <c r="N309" s="6" t="s">
        <v>16</v>
      </c>
      <c r="O309" s="9" t="s">
        <v>340</v>
      </c>
    </row>
    <row r="310" spans="1:15" ht="12" x14ac:dyDescent="0.15">
      <c r="A310" s="1" t="d">
        <v>2022-03-31</v>
      </c>
      <c r="B310" s="3" t="s">
        <v>1178</v>
      </c>
      <c r="C310" s="3" t="s">
        <v>1179</v>
      </c>
      <c r="D310" s="4" t="s">
        <v>17</v>
      </c>
      <c r="E310" s="4" t="s">
        <v>18</v>
      </c>
      <c r="F310" s="6" t="s">
        <v>16</v>
      </c>
      <c r="G310" s="3" t="s">
        <v>1180</v>
      </c>
      <c r="H310" s="3" t="s">
        <v>16</v>
      </c>
      <c r="I310" s="4" t="s">
        <v>1181</v>
      </c>
      <c r="J310" s="1" t="d">
        <v>2022-03-31</v>
      </c>
      <c r="K310" s="9" t="s">
        <v>20</v>
      </c>
      <c r="L310" s="5">
        <v>144.59</v>
      </c>
      <c r="M310" s="1" t="d">
        <v>2022-03-31</v>
      </c>
      <c r="N310" s="5">
        <v>-5.93</v>
      </c>
      <c r="O310" s="9" t="s">
        <v>119</v>
      </c>
    </row>
    <row r="311" spans="1:15" ht="12" x14ac:dyDescent="0.15">
      <c r="A311" s="1" t="d">
        <v>2025-09-05</v>
      </c>
      <c r="B311" s="3" t="s">
        <v>1182</v>
      </c>
      <c r="C311" s="3" t="s">
        <v>1183</v>
      </c>
      <c r="D311" s="4" t="s">
        <v>17</v>
      </c>
      <c r="E311" s="4" t="s">
        <v>18</v>
      </c>
      <c r="F311" s="12">
        <v>0</v>
      </c>
      <c r="G311" s="3" t="s">
        <v>1184</v>
      </c>
      <c r="H311" s="3" t="s">
        <v>1185</v>
      </c>
      <c r="I311" s="4" t="s">
        <v>1186</v>
      </c>
      <c r="J311" s="1" t="d">
        <v>2025-09-05</v>
      </c>
      <c r="K311" s="9" t="s">
        <v>20</v>
      </c>
      <c r="L311" s="5">
        <v>144.52000000000001</v>
      </c>
      <c r="M311" s="1" t="d">
        <v>2025-09-04</v>
      </c>
      <c r="N311" s="10">
        <v>-11.1</v>
      </c>
      <c r="O311" s="9" t="s">
        <v>50</v>
      </c>
    </row>
    <row r="312" spans="1:15" ht="48" x14ac:dyDescent="0.15">
      <c r="A312" s="1" t="d">
        <v>2022-09-28</v>
      </c>
      <c r="B312" s="3" t="s">
        <v>1187</v>
      </c>
      <c r="C312" s="3" t="s">
        <v>16</v>
      </c>
      <c r="D312" s="4" t="s">
        <v>17</v>
      </c>
      <c r="E312" s="4" t="s">
        <v>18</v>
      </c>
      <c r="F312" s="5">
        <v>1661.12</v>
      </c>
      <c r="G312" s="3" t="s">
        <v>1188</v>
      </c>
      <c r="H312" s="3" t="s">
        <v>1189</v>
      </c>
      <c r="I312" s="4" t="s">
        <v>1190</v>
      </c>
      <c r="J312" s="1" t="d">
        <v>2022-09-28</v>
      </c>
      <c r="K312" s="9" t="s">
        <v>20</v>
      </c>
      <c r="L312" s="5">
        <v>144.52000000000001</v>
      </c>
      <c r="M312" s="1" t="d">
        <v>2022-12-16</v>
      </c>
      <c r="N312" s="6" t="s">
        <v>16</v>
      </c>
      <c r="O312" s="9" t="s">
        <v>299</v>
      </c>
    </row>
    <row r="313" spans="1:15" ht="24" x14ac:dyDescent="0.15">
      <c r="A313" s="1" t="d">
        <v>2025-07-21</v>
      </c>
      <c r="B313" s="3" t="s">
        <v>1191</v>
      </c>
      <c r="C313" s="3" t="s">
        <v>16</v>
      </c>
      <c r="D313" s="4" t="s">
        <v>17</v>
      </c>
      <c r="E313" s="4" t="s">
        <v>18</v>
      </c>
      <c r="F313" s="5">
        <v>527.24</v>
      </c>
      <c r="G313" s="3" t="s">
        <v>1192</v>
      </c>
      <c r="H313" s="3" t="s">
        <v>1193</v>
      </c>
      <c r="I313" s="4" t="s">
        <v>1194</v>
      </c>
      <c r="J313" s="1" t="d">
        <v>2025-07-21</v>
      </c>
      <c r="K313" s="9" t="s">
        <v>20</v>
      </c>
      <c r="L313" s="5">
        <v>144.11000000000001</v>
      </c>
      <c r="M313" s="1" t="d">
        <v>2025-12-01</v>
      </c>
      <c r="N313" s="6" t="s">
        <v>16</v>
      </c>
      <c r="O313" s="9" t="s">
        <v>610</v>
      </c>
    </row>
    <row r="314" spans="1:15" ht="12" x14ac:dyDescent="0.15">
      <c r="A314" s="1" t="d">
        <v>2023-10-04</v>
      </c>
      <c r="B314" s="3" t="s">
        <v>1195</v>
      </c>
      <c r="C314" s="3" t="s">
        <v>16</v>
      </c>
      <c r="D314" s="4" t="s">
        <v>17</v>
      </c>
      <c r="E314" s="4" t="s">
        <v>18</v>
      </c>
      <c r="F314" s="5">
        <v>484.88</v>
      </c>
      <c r="G314" s="3" t="s">
        <v>1196</v>
      </c>
      <c r="H314" s="3" t="s">
        <v>1197</v>
      </c>
      <c r="I314" s="4" t="s">
        <v>1198</v>
      </c>
      <c r="J314" s="1" t="d">
        <v>2023-10-04</v>
      </c>
      <c r="K314" s="9" t="s">
        <v>20</v>
      </c>
      <c r="L314" s="5">
        <v>143.29</v>
      </c>
      <c r="M314" s="1" t="d">
        <v>2023-12-22</v>
      </c>
      <c r="N314" s="6" t="s">
        <v>16</v>
      </c>
      <c r="O314" s="9" t="s">
        <v>40</v>
      </c>
    </row>
    <row r="315" spans="1:15" ht="12" x14ac:dyDescent="0.15">
      <c r="A315" s="1" t="d">
        <v>2025-07-05</v>
      </c>
      <c r="B315" s="3" t="s">
        <v>1199</v>
      </c>
      <c r="C315" s="3" t="s">
        <v>1200</v>
      </c>
      <c r="D315" s="4" t="s">
        <v>17</v>
      </c>
      <c r="E315" s="4" t="s">
        <v>18</v>
      </c>
      <c r="F315" s="5">
        <v>35.340000000000003</v>
      </c>
      <c r="G315" s="3" t="s">
        <v>1201</v>
      </c>
      <c r="H315" s="3" t="s">
        <v>1202</v>
      </c>
      <c r="I315" s="4" t="s">
        <v>1203</v>
      </c>
      <c r="J315" s="1" t="d">
        <v>2025-07-05</v>
      </c>
      <c r="K315" s="9" t="s">
        <v>20</v>
      </c>
      <c r="L315" s="5">
        <v>142.66999999999999</v>
      </c>
      <c r="M315" s="1" t="d">
        <v>2025-07-24</v>
      </c>
      <c r="N315" s="10">
        <v>-222</v>
      </c>
      <c r="O315" s="9" t="s">
        <v>50</v>
      </c>
    </row>
    <row r="316" spans="1:15" ht="36" x14ac:dyDescent="0.15">
      <c r="A316" s="1" t="d">
        <v>2023-02-24</v>
      </c>
      <c r="B316" s="3" t="s">
        <v>1204</v>
      </c>
      <c r="C316" s="3" t="s">
        <v>16</v>
      </c>
      <c r="D316" s="4" t="s">
        <v>17</v>
      </c>
      <c r="E316" s="4" t="s">
        <v>18</v>
      </c>
      <c r="F316" s="6" t="s">
        <v>16</v>
      </c>
      <c r="G316" s="3" t="s">
        <v>1205</v>
      </c>
      <c r="H316" s="3" t="s">
        <v>16</v>
      </c>
      <c r="I316" s="4" t="s">
        <v>1206</v>
      </c>
      <c r="J316" s="1" t="d">
        <v>2023-02-24</v>
      </c>
      <c r="K316" s="9" t="s">
        <v>20</v>
      </c>
      <c r="L316" s="5">
        <v>141.65</v>
      </c>
      <c r="M316" s="1" t="d">
        <v>2023-02-22</v>
      </c>
      <c r="N316" s="6" t="s">
        <v>16</v>
      </c>
      <c r="O316" s="9" t="s">
        <v>1207</v>
      </c>
    </row>
    <row r="317" spans="1:15" ht="24" x14ac:dyDescent="0.15">
      <c r="A317" s="1" t="d">
        <v>2025-12-30</v>
      </c>
      <c r="B317" s="3" t="s">
        <v>1208</v>
      </c>
      <c r="C317" s="3" t="s">
        <v>16</v>
      </c>
      <c r="D317" s="4" t="s">
        <v>17</v>
      </c>
      <c r="E317" s="4" t="s">
        <v>18</v>
      </c>
      <c r="F317" s="5">
        <v>359.21</v>
      </c>
      <c r="G317" s="3" t="s">
        <v>1209</v>
      </c>
      <c r="H317" s="3" t="s">
        <v>1210</v>
      </c>
      <c r="I317" s="4" t="s">
        <v>1211</v>
      </c>
      <c r="J317" s="1" t="d">
        <v>2025-12-30</v>
      </c>
      <c r="K317" s="9" t="s">
        <v>20</v>
      </c>
      <c r="L317" s="5">
        <v>141.35</v>
      </c>
      <c r="M317" s="1" t="d">
        <v>2026-04-01</v>
      </c>
      <c r="N317" s="10">
        <v>-27.8</v>
      </c>
      <c r="O317" s="9" t="s">
        <v>40</v>
      </c>
    </row>
    <row r="318" spans="1:15" ht="12" x14ac:dyDescent="0.15">
      <c r="A318" s="1" t="d">
        <v>2023-09-29</v>
      </c>
      <c r="B318" s="3" t="s">
        <v>1212</v>
      </c>
      <c r="C318" s="3" t="s">
        <v>16</v>
      </c>
      <c r="D318" s="4" t="s">
        <v>17</v>
      </c>
      <c r="E318" s="4" t="s">
        <v>18</v>
      </c>
      <c r="F318" s="5">
        <v>177.99</v>
      </c>
      <c r="G318" s="3" t="s">
        <v>1213</v>
      </c>
      <c r="H318" s="3" t="s">
        <v>16</v>
      </c>
      <c r="I318" s="4" t="s">
        <v>1214</v>
      </c>
      <c r="J318" s="1" t="d">
        <v>2023-09-29</v>
      </c>
      <c r="K318" s="9" t="s">
        <v>20</v>
      </c>
      <c r="L318" s="5">
        <v>141.02000000000001</v>
      </c>
      <c r="M318" s="1" t="d">
        <v>2024-02-19</v>
      </c>
      <c r="N318" s="6" t="s">
        <v>16</v>
      </c>
      <c r="O318" s="9" t="s">
        <v>110</v>
      </c>
    </row>
    <row r="319" spans="1:15" ht="12" x14ac:dyDescent="0.15">
      <c r="A319" s="1" t="d">
        <v>2025-12-10</v>
      </c>
      <c r="B319" s="3" t="s">
        <v>1215</v>
      </c>
      <c r="C319" s="3" t="s">
        <v>16</v>
      </c>
      <c r="D319" s="4" t="s">
        <v>17</v>
      </c>
      <c r="E319" s="4" t="s">
        <v>18</v>
      </c>
      <c r="F319" s="6" t="s">
        <v>16</v>
      </c>
      <c r="G319" s="3" t="s">
        <v>1216</v>
      </c>
      <c r="H319" s="3" t="s">
        <v>1217</v>
      </c>
      <c r="I319" s="4" t="s">
        <v>1218</v>
      </c>
      <c r="J319" s="1" t="d">
        <v>2025-12-10</v>
      </c>
      <c r="K319" s="9" t="s">
        <v>20</v>
      </c>
      <c r="L319" s="5">
        <v>141</v>
      </c>
      <c r="M319" s="1" t="d">
        <v>2026-01-14</v>
      </c>
      <c r="N319" s="6" t="s">
        <v>16</v>
      </c>
      <c r="O319" s="9" t="s">
        <v>40</v>
      </c>
    </row>
    <row r="320" spans="1:15" ht="24" x14ac:dyDescent="0.15">
      <c r="A320" s="1" t="d">
        <v>2025-07-09</v>
      </c>
      <c r="B320" s="3" t="s">
        <v>1219</v>
      </c>
      <c r="C320" s="3" t="s">
        <v>16</v>
      </c>
      <c r="D320" s="4" t="s">
        <v>17</v>
      </c>
      <c r="E320" s="4" t="s">
        <v>18</v>
      </c>
      <c r="F320" s="5">
        <v>225.13</v>
      </c>
      <c r="G320" s="3" t="s">
        <v>1220</v>
      </c>
      <c r="H320" s="3" t="s">
        <v>1221</v>
      </c>
      <c r="I320" s="4" t="s">
        <v>1222</v>
      </c>
      <c r="J320" s="1" t="d">
        <v>2025-07-09</v>
      </c>
      <c r="K320" s="9" t="s">
        <v>20</v>
      </c>
      <c r="L320" s="5">
        <v>140.37</v>
      </c>
      <c r="M320" s="1" t="d">
        <v>2025-10-02</v>
      </c>
      <c r="N320" s="6" t="s">
        <v>16</v>
      </c>
      <c r="O320" s="9" t="s">
        <v>340</v>
      </c>
    </row>
    <row r="321" spans="1:15" ht="12" x14ac:dyDescent="0.15">
      <c r="A321" s="1" t="d">
        <v>2023-11-28</v>
      </c>
      <c r="B321" s="3" t="s">
        <v>990</v>
      </c>
      <c r="C321" s="3" t="s">
        <v>991</v>
      </c>
      <c r="D321" s="4" t="s">
        <v>17</v>
      </c>
      <c r="E321" s="4" t="s">
        <v>18</v>
      </c>
      <c r="F321" s="5">
        <v>6.11</v>
      </c>
      <c r="G321" s="3" t="s">
        <v>16</v>
      </c>
      <c r="H321" s="3" t="s">
        <v>1152</v>
      </c>
      <c r="I321" s="4" t="s">
        <v>1223</v>
      </c>
      <c r="J321" s="1" t="d">
        <v>2023-11-28</v>
      </c>
      <c r="K321" s="9" t="s">
        <v>20</v>
      </c>
      <c r="L321" s="5">
        <v>140.01</v>
      </c>
      <c r="M321" s="1" t="d">
        <v>2024-06-28</v>
      </c>
      <c r="N321" s="5">
        <v>4.6100000000000003</v>
      </c>
      <c r="O321" s="9" t="s">
        <v>831</v>
      </c>
    </row>
    <row r="322" spans="1:15" ht="24" x14ac:dyDescent="0.15">
      <c r="A322" s="1" t="d">
        <v>2022-10-27</v>
      </c>
      <c r="B322" s="3" t="s">
        <v>1224</v>
      </c>
      <c r="C322" s="3" t="s">
        <v>16</v>
      </c>
      <c r="D322" s="4" t="s">
        <v>17</v>
      </c>
      <c r="E322" s="4" t="s">
        <v>18</v>
      </c>
      <c r="F322" s="5">
        <v>1225</v>
      </c>
      <c r="G322" s="3" t="s">
        <v>1225</v>
      </c>
      <c r="H322" s="3" t="s">
        <v>1226</v>
      </c>
      <c r="I322" s="4" t="s">
        <v>1227</v>
      </c>
      <c r="J322" s="1" t="d">
        <v>2022-10-27</v>
      </c>
      <c r="K322" s="9" t="s">
        <v>20</v>
      </c>
      <c r="L322" s="5">
        <v>140</v>
      </c>
      <c r="M322" s="1" t="d">
        <v>2023-01-03</v>
      </c>
      <c r="N322" s="6" t="s">
        <v>16</v>
      </c>
      <c r="O322" s="9" t="s">
        <v>1228</v>
      </c>
    </row>
    <row r="323" spans="1:15" ht="48" x14ac:dyDescent="0.15">
      <c r="A323" s="1" t="d">
        <v>2024-04-05</v>
      </c>
      <c r="B323" s="3" t="s">
        <v>1229</v>
      </c>
      <c r="C323" s="3" t="s">
        <v>16</v>
      </c>
      <c r="D323" s="4" t="s">
        <v>17</v>
      </c>
      <c r="E323" s="4" t="s">
        <v>18</v>
      </c>
      <c r="F323" s="5">
        <v>227.82</v>
      </c>
      <c r="G323" s="3" t="s">
        <v>1230</v>
      </c>
      <c r="H323" s="3" t="s">
        <v>1231</v>
      </c>
      <c r="I323" s="4" t="s">
        <v>1232</v>
      </c>
      <c r="J323" s="1" t="d">
        <v>2024-04-05</v>
      </c>
      <c r="K323" s="9" t="s">
        <v>20</v>
      </c>
      <c r="L323" s="5">
        <v>139.87</v>
      </c>
      <c r="M323" s="1" t="d">
        <v>2024-05-23</v>
      </c>
      <c r="N323" s="6" t="s">
        <v>16</v>
      </c>
      <c r="O323" s="9" t="s">
        <v>1233</v>
      </c>
    </row>
    <row r="324" spans="1:15" ht="24" x14ac:dyDescent="0.15">
      <c r="A324" s="1" t="d">
        <v>2026-05-12</v>
      </c>
      <c r="B324" s="3" t="s">
        <v>1234</v>
      </c>
      <c r="C324" s="3" t="s">
        <v>16</v>
      </c>
      <c r="D324" s="4" t="s">
        <v>17</v>
      </c>
      <c r="E324" s="4" t="s">
        <v>18</v>
      </c>
      <c r="F324" s="5">
        <v>440.08</v>
      </c>
      <c r="G324" s="3" t="s">
        <v>1235</v>
      </c>
      <c r="H324" s="3" t="s">
        <v>1236</v>
      </c>
      <c r="I324" s="4" t="s">
        <v>1237</v>
      </c>
      <c r="J324" s="1" t="d">
        <v>2026-05-12</v>
      </c>
      <c r="K324" s="9" t="s">
        <v>20</v>
      </c>
      <c r="L324" s="5">
        <v>139.54</v>
      </c>
      <c r="M324" s="1" t="d">
        <v>2026-09-10</v>
      </c>
      <c r="N324" s="10">
        <v>29.3</v>
      </c>
      <c r="O324" s="9" t="s">
        <v>1238</v>
      </c>
    </row>
    <row r="325" spans="1:15" ht="24" x14ac:dyDescent="0.15">
      <c r="A325" s="1" t="d">
        <v>2023-11-09</v>
      </c>
      <c r="B325" s="3" t="s">
        <v>1239</v>
      </c>
      <c r="C325" s="3" t="s">
        <v>16</v>
      </c>
      <c r="D325" s="4" t="s">
        <v>17</v>
      </c>
      <c r="E325" s="4" t="s">
        <v>18</v>
      </c>
      <c r="F325" s="5">
        <v>85.92</v>
      </c>
      <c r="G325" s="3" t="s">
        <v>120</v>
      </c>
      <c r="H325" s="3" t="s">
        <v>16</v>
      </c>
      <c r="I325" s="4" t="s">
        <v>1240</v>
      </c>
      <c r="J325" s="1" t="d">
        <v>2023-11-09</v>
      </c>
      <c r="K325" s="9" t="s">
        <v>20</v>
      </c>
      <c r="L325" s="5">
        <v>139.34</v>
      </c>
      <c r="M325" s="1" t="d">
        <v>2023-12-21</v>
      </c>
      <c r="N325" s="6" t="s">
        <v>16</v>
      </c>
      <c r="O325" s="9" t="s">
        <v>55</v>
      </c>
    </row>
    <row r="326" spans="1:15" ht="48" x14ac:dyDescent="0.15">
      <c r="A326" s="1" t="d">
        <v>2025-08-08</v>
      </c>
      <c r="B326" s="3" t="s">
        <v>1241</v>
      </c>
      <c r="C326" s="3" t="s">
        <v>16</v>
      </c>
      <c r="D326" s="4" t="s">
        <v>17</v>
      </c>
      <c r="E326" s="4" t="s">
        <v>18</v>
      </c>
      <c r="F326" s="5">
        <v>374.95</v>
      </c>
      <c r="G326" s="3" t="s">
        <v>1242</v>
      </c>
      <c r="H326" s="3" t="s">
        <v>1243</v>
      </c>
      <c r="I326" s="4" t="s">
        <v>1244</v>
      </c>
      <c r="J326" s="1" t="d">
        <v>2025-08-08</v>
      </c>
      <c r="K326" s="9" t="s">
        <v>20</v>
      </c>
      <c r="L326" s="5">
        <v>138.61000000000001</v>
      </c>
      <c r="M326" s="1" t="d">
        <v>2025-11-17</v>
      </c>
      <c r="N326" s="10">
        <v>11.1</v>
      </c>
      <c r="O326" s="9" t="s">
        <v>1245</v>
      </c>
    </row>
    <row r="327" spans="1:15" ht="12" x14ac:dyDescent="0.15">
      <c r="A327" s="1" t="d">
        <v>2023-07-20</v>
      </c>
      <c r="B327" s="3" t="s">
        <v>1246</v>
      </c>
      <c r="C327" s="3" t="s">
        <v>16</v>
      </c>
      <c r="D327" s="4" t="s">
        <v>17</v>
      </c>
      <c r="E327" s="4" t="s">
        <v>18</v>
      </c>
      <c r="F327" s="5">
        <v>580.12</v>
      </c>
      <c r="G327" s="3" t="s">
        <v>1247</v>
      </c>
      <c r="H327" s="3" t="s">
        <v>16</v>
      </c>
      <c r="I327" s="4" t="s">
        <v>1248</v>
      </c>
      <c r="J327" s="1" t="d">
        <v>2023-07-20</v>
      </c>
      <c r="K327" s="9" t="s">
        <v>20</v>
      </c>
      <c r="L327" s="5">
        <v>136.18</v>
      </c>
      <c r="M327" s="1" t="d">
        <v>2023-10-30</v>
      </c>
      <c r="N327" s="6" t="s">
        <v>16</v>
      </c>
      <c r="O327" s="9" t="s">
        <v>110</v>
      </c>
    </row>
    <row r="328" spans="1:15" ht="12" x14ac:dyDescent="0.15">
      <c r="A328" s="1" t="d">
        <v>2026-04-06</v>
      </c>
      <c r="B328" s="3" t="s">
        <v>1249</v>
      </c>
      <c r="C328" s="3" t="s">
        <v>16</v>
      </c>
      <c r="D328" s="4" t="s">
        <v>17</v>
      </c>
      <c r="E328" s="4" t="s">
        <v>18</v>
      </c>
      <c r="F328" s="5">
        <v>386</v>
      </c>
      <c r="G328" s="3" t="s">
        <v>1250</v>
      </c>
      <c r="H328" s="3" t="s">
        <v>1251</v>
      </c>
      <c r="I328" s="4" t="s">
        <v>1252</v>
      </c>
      <c r="J328" s="1" t="d">
        <v>2026-04-06</v>
      </c>
      <c r="K328" s="9" t="s">
        <v>20</v>
      </c>
      <c r="L328" s="5">
        <v>135.6</v>
      </c>
      <c r="M328" s="1" t="d">
        <v>2026-05-15</v>
      </c>
      <c r="N328" s="6" t="s">
        <v>16</v>
      </c>
      <c r="O328" s="9" t="s">
        <v>381</v>
      </c>
    </row>
    <row r="329" spans="1:15" ht="12" x14ac:dyDescent="0.15">
      <c r="A329" s="1" t="d">
        <v>2023-06-15</v>
      </c>
      <c r="B329" s="3" t="s">
        <v>1253</v>
      </c>
      <c r="C329" s="3" t="s">
        <v>1254</v>
      </c>
      <c r="D329" s="4" t="s">
        <v>17</v>
      </c>
      <c r="E329" s="4" t="s">
        <v>18</v>
      </c>
      <c r="F329" s="6" t="s">
        <v>16</v>
      </c>
      <c r="G329" s="3" t="s">
        <v>1255</v>
      </c>
      <c r="H329" s="3" t="s">
        <v>1256</v>
      </c>
      <c r="I329" s="4" t="s">
        <v>1257</v>
      </c>
      <c r="J329" s="1" t="d">
        <v>2023-06-15</v>
      </c>
      <c r="K329" s="9" t="s">
        <v>20</v>
      </c>
      <c r="L329" s="5">
        <v>134.87</v>
      </c>
      <c r="M329" s="1" t="d">
        <v>2023-06-30</v>
      </c>
      <c r="N329" s="10">
        <v>85.3</v>
      </c>
      <c r="O329" s="9" t="s">
        <v>119</v>
      </c>
    </row>
    <row r="330" spans="1:15" ht="12" x14ac:dyDescent="0.15">
      <c r="A330" s="1" t="d">
        <v>2023-01-13</v>
      </c>
      <c r="B330" s="3" t="s">
        <v>1258</v>
      </c>
      <c r="C330" s="3" t="s">
        <v>16</v>
      </c>
      <c r="D330" s="4" t="s">
        <v>17</v>
      </c>
      <c r="E330" s="4" t="s">
        <v>18</v>
      </c>
      <c r="F330" s="6" t="s">
        <v>16</v>
      </c>
      <c r="G330" s="3" t="s">
        <v>1259</v>
      </c>
      <c r="H330" s="3" t="s">
        <v>16</v>
      </c>
      <c r="I330" s="4" t="s">
        <v>1260</v>
      </c>
      <c r="J330" s="1" t="d">
        <v>2023-01-13</v>
      </c>
      <c r="K330" s="9" t="s">
        <v>20</v>
      </c>
      <c r="L330" s="5">
        <v>133.61000000000001</v>
      </c>
      <c r="M330" s="1" t="d">
        <v>2022-12-31</v>
      </c>
      <c r="N330" s="6" t="s">
        <v>16</v>
      </c>
      <c r="O330" s="9" t="s">
        <v>139</v>
      </c>
    </row>
    <row r="331" spans="1:15" ht="24" x14ac:dyDescent="0.15">
      <c r="A331" s="1" t="d">
        <v>2025-03-27</v>
      </c>
      <c r="B331" s="3" t="s">
        <v>1261</v>
      </c>
      <c r="C331" s="3" t="s">
        <v>1262</v>
      </c>
      <c r="D331" s="4" t="s">
        <v>17</v>
      </c>
      <c r="E331" s="4" t="s">
        <v>18</v>
      </c>
      <c r="F331" s="5">
        <v>15.8</v>
      </c>
      <c r="G331" s="3" t="s">
        <v>1263</v>
      </c>
      <c r="H331" s="3" t="s">
        <v>16</v>
      </c>
      <c r="I331" s="4" t="s">
        <v>1264</v>
      </c>
      <c r="J331" s="1" t="d">
        <v>2025-03-27</v>
      </c>
      <c r="K331" s="9" t="s">
        <v>20</v>
      </c>
      <c r="L331" s="5">
        <v>133.31</v>
      </c>
      <c r="M331" s="1" t="d">
        <v>2025-04-02</v>
      </c>
      <c r="N331" s="5">
        <v>9.3699999999999992</v>
      </c>
      <c r="O331" s="9" t="s">
        <v>65</v>
      </c>
    </row>
    <row r="332" spans="1:15" ht="12" x14ac:dyDescent="0.15">
      <c r="A332" s="1" t="d">
        <v>2025-03-03</v>
      </c>
      <c r="B332" s="3" t="s">
        <v>1261</v>
      </c>
      <c r="C332" s="3" t="s">
        <v>1262</v>
      </c>
      <c r="D332" s="4" t="s">
        <v>17</v>
      </c>
      <c r="E332" s="4" t="s">
        <v>18</v>
      </c>
      <c r="F332" s="5">
        <v>13.43</v>
      </c>
      <c r="G332" s="3" t="s">
        <v>1265</v>
      </c>
      <c r="H332" s="3" t="s">
        <v>16</v>
      </c>
      <c r="I332" s="4" t="s">
        <v>1266</v>
      </c>
      <c r="J332" s="1" t="d">
        <v>2025-03-03</v>
      </c>
      <c r="K332" s="9" t="s">
        <v>20</v>
      </c>
      <c r="L332" s="5">
        <v>133.31</v>
      </c>
      <c r="M332" s="1" t="d">
        <v>2025-03-05</v>
      </c>
      <c r="N332" s="5">
        <v>9.3699999999999992</v>
      </c>
      <c r="O332" s="9" t="s">
        <v>50</v>
      </c>
    </row>
    <row r="333" spans="1:15" ht="12" x14ac:dyDescent="0.15">
      <c r="A333" s="1" t="d">
        <v>2022-03-07</v>
      </c>
      <c r="B333" s="3" t="s">
        <v>1267</v>
      </c>
      <c r="C333" s="3" t="s">
        <v>16</v>
      </c>
      <c r="D333" s="4" t="s">
        <v>17</v>
      </c>
      <c r="E333" s="4" t="s">
        <v>18</v>
      </c>
      <c r="F333" s="5">
        <v>257.14</v>
      </c>
      <c r="G333" s="3" t="s">
        <v>1268</v>
      </c>
      <c r="H333" s="3" t="s">
        <v>16</v>
      </c>
      <c r="I333" s="4" t="s">
        <v>1269</v>
      </c>
      <c r="J333" s="1" t="d">
        <v>2022-03-07</v>
      </c>
      <c r="K333" s="9" t="s">
        <v>20</v>
      </c>
      <c r="L333" s="5">
        <v>132.35</v>
      </c>
      <c r="M333" s="1" t="d">
        <v>2022-04-14</v>
      </c>
      <c r="N333" s="6" t="s">
        <v>16</v>
      </c>
      <c r="O333" s="9" t="s">
        <v>101</v>
      </c>
    </row>
    <row r="334" spans="1:15" ht="24" x14ac:dyDescent="0.15">
      <c r="A334" s="1" t="d">
        <v>2026-01-14</v>
      </c>
      <c r="B334" s="3" t="s">
        <v>1270</v>
      </c>
      <c r="C334" s="3" t="s">
        <v>16</v>
      </c>
      <c r="D334" s="4" t="s">
        <v>17</v>
      </c>
      <c r="E334" s="4" t="s">
        <v>18</v>
      </c>
      <c r="F334" s="5">
        <v>112.44</v>
      </c>
      <c r="G334" s="3" t="s">
        <v>1271</v>
      </c>
      <c r="H334" s="3" t="s">
        <v>1272</v>
      </c>
      <c r="I334" s="4" t="s">
        <v>1273</v>
      </c>
      <c r="J334" s="1" t="d">
        <v>2026-01-14</v>
      </c>
      <c r="K334" s="9" t="s">
        <v>20</v>
      </c>
      <c r="L334" s="5">
        <v>131.82</v>
      </c>
      <c r="M334" s="1" t="d">
        <v>2026-04-01</v>
      </c>
      <c r="N334" s="5">
        <v>9.7899999999999991</v>
      </c>
      <c r="O334" s="9" t="s">
        <v>472</v>
      </c>
    </row>
    <row r="335" spans="1:15" ht="12" x14ac:dyDescent="0.15">
      <c r="A335" s="1" t="d">
        <v>2021-12-09</v>
      </c>
      <c r="B335" s="3" t="s">
        <v>1274</v>
      </c>
      <c r="C335" s="3" t="s">
        <v>1275</v>
      </c>
      <c r="D335" s="4" t="s">
        <v>17</v>
      </c>
      <c r="E335" s="4" t="s">
        <v>18</v>
      </c>
      <c r="F335" s="5">
        <v>48.61</v>
      </c>
      <c r="G335" s="3" t="s">
        <v>770</v>
      </c>
      <c r="H335" s="3" t="s">
        <v>16</v>
      </c>
      <c r="I335" s="4" t="s">
        <v>1276</v>
      </c>
      <c r="J335" s="1" t="d">
        <v>2021-12-09</v>
      </c>
      <c r="K335" s="9" t="s">
        <v>20</v>
      </c>
      <c r="L335" s="5">
        <v>131.59</v>
      </c>
      <c r="M335" s="1" t="d">
        <v>2021-12-22</v>
      </c>
      <c r="N335" s="10">
        <v>-38.4</v>
      </c>
      <c r="O335" s="9" t="s">
        <v>50</v>
      </c>
    </row>
    <row r="336" spans="1:15" ht="24" x14ac:dyDescent="0.15">
      <c r="A336" s="1" t="d">
        <v>2023-05-19</v>
      </c>
      <c r="B336" s="3" t="s">
        <v>1277</v>
      </c>
      <c r="C336" s="3" t="s">
        <v>16</v>
      </c>
      <c r="D336" s="4" t="s">
        <v>17</v>
      </c>
      <c r="E336" s="4" t="s">
        <v>18</v>
      </c>
      <c r="F336" s="5">
        <v>2.65</v>
      </c>
      <c r="G336" s="3" t="s">
        <v>1278</v>
      </c>
      <c r="H336" s="3" t="s">
        <v>1279</v>
      </c>
      <c r="I336" s="4" t="s">
        <v>1280</v>
      </c>
      <c r="J336" s="1" t="d">
        <v>2023-05-19</v>
      </c>
      <c r="K336" s="9" t="s">
        <v>20</v>
      </c>
      <c r="L336" s="5">
        <v>131.25</v>
      </c>
      <c r="M336" s="1" t="d">
        <v>2023-06-12</v>
      </c>
      <c r="N336" s="6" t="s">
        <v>16</v>
      </c>
      <c r="O336" s="9" t="s">
        <v>381</v>
      </c>
    </row>
    <row r="337" spans="1:15" ht="24" x14ac:dyDescent="0.15">
      <c r="A337" s="1" t="d">
        <v>2021-12-01</v>
      </c>
      <c r="B337" s="3" t="s">
        <v>1281</v>
      </c>
      <c r="C337" s="3" t="s">
        <v>16</v>
      </c>
      <c r="D337" s="4" t="s">
        <v>17</v>
      </c>
      <c r="E337" s="4" t="s">
        <v>18</v>
      </c>
      <c r="F337" s="5">
        <v>213.8</v>
      </c>
      <c r="G337" s="3" t="s">
        <v>1282</v>
      </c>
      <c r="H337" s="3" t="s">
        <v>1283</v>
      </c>
      <c r="I337" s="4" t="s">
        <v>1284</v>
      </c>
      <c r="J337" s="1" t="d">
        <v>2021-12-01</v>
      </c>
      <c r="K337" s="9" t="s">
        <v>20</v>
      </c>
      <c r="L337" s="5">
        <v>129.75</v>
      </c>
      <c r="M337" s="1" t="d">
        <v>2022-01-18</v>
      </c>
      <c r="N337" s="6" t="s">
        <v>16</v>
      </c>
      <c r="O337" s="9" t="s">
        <v>110</v>
      </c>
    </row>
    <row r="338" spans="1:15" ht="24" x14ac:dyDescent="0.15">
      <c r="A338" s="1" t="d">
        <v>2026-03-13</v>
      </c>
      <c r="B338" s="3" t="s">
        <v>1285</v>
      </c>
      <c r="C338" s="3" t="s">
        <v>16</v>
      </c>
      <c r="D338" s="4" t="s">
        <v>17</v>
      </c>
      <c r="E338" s="4" t="s">
        <v>18</v>
      </c>
      <c r="F338" s="5">
        <v>76.209999999999994</v>
      </c>
      <c r="G338" s="3" t="s">
        <v>1286</v>
      </c>
      <c r="H338" s="3" t="s">
        <v>1287</v>
      </c>
      <c r="I338" s="4" t="s">
        <v>1288</v>
      </c>
      <c r="J338" s="1" t="d">
        <v>2026-03-13</v>
      </c>
      <c r="K338" s="9" t="s">
        <v>20</v>
      </c>
      <c r="L338" s="5">
        <v>129.19</v>
      </c>
      <c r="M338" s="1" t="d">
        <v>2026-04-28</v>
      </c>
      <c r="N338" s="5">
        <v>-4.3499999999999996</v>
      </c>
      <c r="O338" s="9" t="s">
        <v>422</v>
      </c>
    </row>
    <row r="339" spans="1:15" ht="24" x14ac:dyDescent="0.15">
      <c r="A339" s="1" t="d">
        <v>2025-10-20</v>
      </c>
      <c r="B339" s="3" t="s">
        <v>1289</v>
      </c>
      <c r="C339" s="3" t="s">
        <v>1290</v>
      </c>
      <c r="D339" s="4" t="s">
        <v>17</v>
      </c>
      <c r="E339" s="4" t="s">
        <v>18</v>
      </c>
      <c r="F339" s="5">
        <v>8.39</v>
      </c>
      <c r="G339" s="3" t="s">
        <v>16</v>
      </c>
      <c r="H339" s="3" t="s">
        <v>16</v>
      </c>
      <c r="I339" s="4" t="s">
        <v>1291</v>
      </c>
      <c r="J339" s="1" t="d">
        <v>2025-10-20</v>
      </c>
      <c r="K339" s="9" t="s">
        <v>20</v>
      </c>
      <c r="L339" s="5">
        <v>127.69</v>
      </c>
      <c r="M339" s="1" t="d">
        <v>2026-02-06</v>
      </c>
      <c r="N339" s="5">
        <v>-1.77</v>
      </c>
      <c r="O339" s="9" t="s">
        <v>1292</v>
      </c>
    </row>
    <row r="340" spans="1:15" ht="12" x14ac:dyDescent="0.15">
      <c r="A340" s="1" t="d">
        <v>2025-04-17</v>
      </c>
      <c r="B340" s="3" t="s">
        <v>1293</v>
      </c>
      <c r="C340" s="3" t="s">
        <v>1294</v>
      </c>
      <c r="D340" s="4" t="s">
        <v>17</v>
      </c>
      <c r="E340" s="4" t="s">
        <v>18</v>
      </c>
      <c r="F340" s="5">
        <v>5.12</v>
      </c>
      <c r="G340" s="3" t="s">
        <v>1295</v>
      </c>
      <c r="H340" s="3" t="s">
        <v>16</v>
      </c>
      <c r="I340" s="4" t="s">
        <v>1296</v>
      </c>
      <c r="J340" s="1" t="d">
        <v>2025-04-17</v>
      </c>
      <c r="K340" s="9" t="s">
        <v>20</v>
      </c>
      <c r="L340" s="5">
        <v>127.19</v>
      </c>
      <c r="M340" s="1" t="d">
        <v>2025-04-17</v>
      </c>
      <c r="N340" s="10">
        <v>15.5</v>
      </c>
      <c r="O340" s="9" t="s">
        <v>50</v>
      </c>
    </row>
    <row r="341" spans="1:15" ht="12" x14ac:dyDescent="0.15">
      <c r="A341" s="1" t="d">
        <v>2026-04-02</v>
      </c>
      <c r="B341" s="3" t="s">
        <v>1297</v>
      </c>
      <c r="C341" s="3" t="s">
        <v>16</v>
      </c>
      <c r="D341" s="4" t="s">
        <v>17</v>
      </c>
      <c r="E341" s="4" t="s">
        <v>18</v>
      </c>
      <c r="F341" s="6" t="s">
        <v>16</v>
      </c>
      <c r="G341" s="3" t="s">
        <v>1298</v>
      </c>
      <c r="H341" s="3" t="s">
        <v>16</v>
      </c>
      <c r="I341" s="4" t="s">
        <v>1299</v>
      </c>
      <c r="J341" s="1" t="d">
        <v>2026-04-02</v>
      </c>
      <c r="K341" s="9" t="s">
        <v>20</v>
      </c>
      <c r="L341" s="5">
        <v>126.99</v>
      </c>
      <c r="M341" s="1" t="d">
        <v>2026-04-02</v>
      </c>
      <c r="N341" s="6" t="s">
        <v>16</v>
      </c>
      <c r="O341" s="9" t="s">
        <v>139</v>
      </c>
    </row>
    <row r="342" spans="1:15" ht="12" x14ac:dyDescent="0.15">
      <c r="A342" s="1" t="d">
        <v>2024-09-18</v>
      </c>
      <c r="B342" s="3" t="s">
        <v>1300</v>
      </c>
      <c r="C342" s="3" t="s">
        <v>1301</v>
      </c>
      <c r="D342" s="4" t="s">
        <v>17</v>
      </c>
      <c r="E342" s="4" t="s">
        <v>18</v>
      </c>
      <c r="F342" s="5">
        <v>49.24</v>
      </c>
      <c r="G342" s="3" t="s">
        <v>16</v>
      </c>
      <c r="H342" s="3" t="s">
        <v>16</v>
      </c>
      <c r="I342" s="4" t="s">
        <v>1302</v>
      </c>
      <c r="J342" s="1" t="d">
        <v>2024-09-18</v>
      </c>
      <c r="K342" s="9" t="s">
        <v>20</v>
      </c>
      <c r="L342" s="5">
        <v>126</v>
      </c>
      <c r="M342" s="1" t="d">
        <v>2024-11-06</v>
      </c>
      <c r="N342" s="10">
        <v>-11.8</v>
      </c>
      <c r="O342" s="9" t="s">
        <v>831</v>
      </c>
    </row>
    <row r="343" spans="1:15" ht="12" x14ac:dyDescent="0.15">
      <c r="A343" s="1" t="d">
        <v>2021-10-19</v>
      </c>
      <c r="B343" s="3" t="s">
        <v>1303</v>
      </c>
      <c r="C343" s="3" t="s">
        <v>16</v>
      </c>
      <c r="D343" s="4" t="s">
        <v>17</v>
      </c>
      <c r="E343" s="4" t="s">
        <v>18</v>
      </c>
      <c r="F343" s="6" t="s">
        <v>16</v>
      </c>
      <c r="G343" s="3" t="s">
        <v>1304</v>
      </c>
      <c r="H343" s="3" t="s">
        <v>1305</v>
      </c>
      <c r="I343" s="4" t="s">
        <v>1306</v>
      </c>
      <c r="J343" s="1" t="d">
        <v>2021-10-19</v>
      </c>
      <c r="K343" s="9" t="s">
        <v>20</v>
      </c>
      <c r="L343" s="5">
        <v>125.67</v>
      </c>
      <c r="M343" s="1" t="d">
        <v>2022-01-31</v>
      </c>
      <c r="N343" s="7">
        <v>-0.57099999999999995</v>
      </c>
      <c r="O343" s="9" t="s">
        <v>633</v>
      </c>
    </row>
    <row r="344" spans="1:15" ht="24" x14ac:dyDescent="0.15">
      <c r="A344" s="1" t="d">
        <v>2022-03-08</v>
      </c>
      <c r="B344" s="3" t="s">
        <v>1307</v>
      </c>
      <c r="C344" s="3" t="s">
        <v>1308</v>
      </c>
      <c r="D344" s="4" t="s">
        <v>17</v>
      </c>
      <c r="E344" s="4" t="s">
        <v>18</v>
      </c>
      <c r="F344" s="6" t="s">
        <v>16</v>
      </c>
      <c r="G344" s="3" t="s">
        <v>16</v>
      </c>
      <c r="H344" s="3" t="s">
        <v>1309</v>
      </c>
      <c r="I344" s="4" t="s">
        <v>1310</v>
      </c>
      <c r="J344" s="1" t="d">
        <v>2022-03-08</v>
      </c>
      <c r="K344" s="9" t="s">
        <v>20</v>
      </c>
      <c r="L344" s="5">
        <v>124.97</v>
      </c>
      <c r="M344" s="1" t="d">
        <v>2022-03-08</v>
      </c>
      <c r="N344" s="10">
        <v>47</v>
      </c>
      <c r="O344" s="9" t="s">
        <v>31</v>
      </c>
    </row>
    <row r="345" spans="1:15" ht="24" x14ac:dyDescent="0.15">
      <c r="A345" s="1" t="d">
        <v>2024-09-18</v>
      </c>
      <c r="B345" s="3" t="s">
        <v>1311</v>
      </c>
      <c r="C345" s="3" t="s">
        <v>1312</v>
      </c>
      <c r="D345" s="4" t="s">
        <v>17</v>
      </c>
      <c r="E345" s="4" t="s">
        <v>18</v>
      </c>
      <c r="F345" s="6" t="s">
        <v>16</v>
      </c>
      <c r="G345" s="3" t="s">
        <v>912</v>
      </c>
      <c r="H345" s="3" t="s">
        <v>16</v>
      </c>
      <c r="I345" s="4" t="s">
        <v>1313</v>
      </c>
      <c r="J345" s="1" t="d">
        <v>2024-09-18</v>
      </c>
      <c r="K345" s="9" t="s">
        <v>20</v>
      </c>
      <c r="L345" s="5">
        <v>124.93</v>
      </c>
      <c r="M345" s="1" t="d">
        <v>2024-09-17</v>
      </c>
      <c r="N345" s="7">
        <v>-0.83199999999999996</v>
      </c>
      <c r="O345" s="9" t="s">
        <v>96</v>
      </c>
    </row>
    <row r="346" spans="1:15" ht="24" x14ac:dyDescent="0.15">
      <c r="A346" s="1" t="d">
        <v>2022-07-07</v>
      </c>
      <c r="B346" s="3" t="s">
        <v>1314</v>
      </c>
      <c r="C346" s="3" t="s">
        <v>16</v>
      </c>
      <c r="D346" s="4" t="s">
        <v>17</v>
      </c>
      <c r="E346" s="4" t="s">
        <v>18</v>
      </c>
      <c r="F346" s="6" t="s">
        <v>16</v>
      </c>
      <c r="G346" s="3" t="s">
        <v>1315</v>
      </c>
      <c r="H346" s="3" t="s">
        <v>1316</v>
      </c>
      <c r="I346" s="4" t="s">
        <v>1317</v>
      </c>
      <c r="J346" s="1" t="d">
        <v>2022-07-07</v>
      </c>
      <c r="K346" s="9" t="s">
        <v>20</v>
      </c>
      <c r="L346" s="5">
        <v>124.64</v>
      </c>
      <c r="M346" s="1" t="d">
        <v>2022-09-30</v>
      </c>
      <c r="N346" s="6" t="s">
        <v>16</v>
      </c>
      <c r="O346" s="9" t="s">
        <v>1318</v>
      </c>
    </row>
    <row r="347" spans="1:15" ht="24" x14ac:dyDescent="0.15">
      <c r="A347" s="1" t="d">
        <v>2023-08-17</v>
      </c>
      <c r="B347" s="3" t="s">
        <v>1319</v>
      </c>
      <c r="C347" s="3" t="s">
        <v>16</v>
      </c>
      <c r="D347" s="4" t="s">
        <v>17</v>
      </c>
      <c r="E347" s="4" t="s">
        <v>18</v>
      </c>
      <c r="F347" s="6" t="s">
        <v>16</v>
      </c>
      <c r="G347" s="3" t="s">
        <v>1320</v>
      </c>
      <c r="H347" s="3" t="s">
        <v>16</v>
      </c>
      <c r="I347" s="4" t="s">
        <v>1321</v>
      </c>
      <c r="J347" s="1" t="d">
        <v>2023-08-17</v>
      </c>
      <c r="K347" s="9" t="s">
        <v>20</v>
      </c>
      <c r="L347" s="5">
        <v>124.01</v>
      </c>
      <c r="M347" s="1" t="d">
        <v>2023-09-28</v>
      </c>
      <c r="N347" s="6" t="s">
        <v>16</v>
      </c>
      <c r="O347" s="9" t="s">
        <v>1322</v>
      </c>
    </row>
    <row r="348" spans="1:15" ht="48" x14ac:dyDescent="0.15">
      <c r="A348" s="1" t="d">
        <v>2025-11-11</v>
      </c>
      <c r="B348" s="3" t="s">
        <v>1323</v>
      </c>
      <c r="C348" s="3" t="s">
        <v>16</v>
      </c>
      <c r="D348" s="4" t="s">
        <v>17</v>
      </c>
      <c r="E348" s="4" t="s">
        <v>18</v>
      </c>
      <c r="F348" s="5">
        <v>17.25</v>
      </c>
      <c r="G348" s="3" t="s">
        <v>1324</v>
      </c>
      <c r="H348" s="3" t="s">
        <v>16</v>
      </c>
      <c r="I348" s="4" t="s">
        <v>1325</v>
      </c>
      <c r="J348" s="1" t="d">
        <v>2025-11-11</v>
      </c>
      <c r="K348" s="9" t="s">
        <v>20</v>
      </c>
      <c r="L348" s="5">
        <v>123.51</v>
      </c>
      <c r="M348" s="1" t="d">
        <v>2026-01-16</v>
      </c>
      <c r="N348" s="10">
        <v>10.3</v>
      </c>
      <c r="O348" s="9" t="s">
        <v>241</v>
      </c>
    </row>
    <row r="349" spans="1:15" ht="36" x14ac:dyDescent="0.15">
      <c r="A349" s="1" t="d">
        <v>2025-05-15</v>
      </c>
      <c r="B349" s="3" t="s">
        <v>1326</v>
      </c>
      <c r="C349" s="3" t="s">
        <v>1327</v>
      </c>
      <c r="D349" s="4" t="s">
        <v>17</v>
      </c>
      <c r="E349" s="4" t="s">
        <v>18</v>
      </c>
      <c r="F349" s="5">
        <v>20.64</v>
      </c>
      <c r="G349" s="3" t="s">
        <v>16</v>
      </c>
      <c r="H349" s="3" t="s">
        <v>16</v>
      </c>
      <c r="I349" s="4" t="s">
        <v>1328</v>
      </c>
      <c r="J349" s="1" t="d">
        <v>2025-05-15</v>
      </c>
      <c r="K349" s="9" t="s">
        <v>20</v>
      </c>
      <c r="L349" s="5">
        <v>123.37</v>
      </c>
      <c r="M349" s="1" t="d">
        <v>2025-08-14</v>
      </c>
      <c r="N349" s="10">
        <v>14.5</v>
      </c>
      <c r="O349" s="9" t="s">
        <v>1329</v>
      </c>
    </row>
    <row r="350" spans="1:15" ht="24" x14ac:dyDescent="0.15">
      <c r="A350" s="1" t="d">
        <v>2022-05-07</v>
      </c>
      <c r="B350" s="3" t="s">
        <v>1330</v>
      </c>
      <c r="C350" s="3" t="s">
        <v>1331</v>
      </c>
      <c r="D350" s="4" t="s">
        <v>17</v>
      </c>
      <c r="E350" s="4" t="s">
        <v>18</v>
      </c>
      <c r="F350" s="5">
        <v>9.14</v>
      </c>
      <c r="G350" s="3" t="s">
        <v>16</v>
      </c>
      <c r="H350" s="3" t="s">
        <v>1332</v>
      </c>
      <c r="I350" s="4" t="s">
        <v>1333</v>
      </c>
      <c r="J350" s="1" t="d">
        <v>2022-05-07</v>
      </c>
      <c r="K350" s="9" t="s">
        <v>20</v>
      </c>
      <c r="L350" s="5">
        <v>122.78</v>
      </c>
      <c r="M350" s="1" t="d">
        <v>2022-07-11</v>
      </c>
      <c r="N350" s="5">
        <v>3.97</v>
      </c>
      <c r="O350" s="9" t="s">
        <v>1292</v>
      </c>
    </row>
    <row r="351" spans="1:15" ht="36" x14ac:dyDescent="0.15">
      <c r="A351" s="1" t="d">
        <v>2025-11-27</v>
      </c>
      <c r="B351" s="3" t="s">
        <v>1334</v>
      </c>
      <c r="C351" s="3" t="s">
        <v>16</v>
      </c>
      <c r="D351" s="4" t="s">
        <v>17</v>
      </c>
      <c r="E351" s="4" t="s">
        <v>18</v>
      </c>
      <c r="F351" s="5">
        <v>37.51</v>
      </c>
      <c r="G351" s="3" t="s">
        <v>1335</v>
      </c>
      <c r="H351" s="3" t="s">
        <v>16</v>
      </c>
      <c r="I351" s="4" t="s">
        <v>1336</v>
      </c>
      <c r="J351" s="1" t="d">
        <v>2025-11-27</v>
      </c>
      <c r="K351" s="9" t="s">
        <v>20</v>
      </c>
      <c r="L351" s="5">
        <v>122.36</v>
      </c>
      <c r="M351" s="1" t="d">
        <v>2026-02-13</v>
      </c>
      <c r="N351" s="5">
        <v>2.91</v>
      </c>
      <c r="O351" s="9" t="s">
        <v>1337</v>
      </c>
    </row>
    <row r="352" spans="1:15" ht="12" x14ac:dyDescent="0.15">
      <c r="A352" s="1" t="d">
        <v>2024-12-13</v>
      </c>
      <c r="B352" s="3" t="s">
        <v>1338</v>
      </c>
      <c r="C352" s="3" t="s">
        <v>16</v>
      </c>
      <c r="D352" s="4" t="s">
        <v>17</v>
      </c>
      <c r="E352" s="4" t="s">
        <v>18</v>
      </c>
      <c r="F352" s="6" t="s">
        <v>16</v>
      </c>
      <c r="G352" s="3" t="s">
        <v>1339</v>
      </c>
      <c r="H352" s="3" t="s">
        <v>16</v>
      </c>
      <c r="I352" s="4" t="s">
        <v>1340</v>
      </c>
      <c r="J352" s="1" t="d">
        <v>2024-12-13</v>
      </c>
      <c r="K352" s="9" t="s">
        <v>20</v>
      </c>
      <c r="L352" s="5">
        <v>120.71</v>
      </c>
      <c r="M352" s="1" t="d">
        <v>2025-02-20</v>
      </c>
      <c r="N352" s="5">
        <v>-2.86</v>
      </c>
      <c r="O352" s="9" t="s">
        <v>1341</v>
      </c>
    </row>
    <row r="353" spans="1:15" ht="12" x14ac:dyDescent="0.15">
      <c r="A353" s="1" t="d">
        <v>2023-06-01</v>
      </c>
      <c r="B353" s="3" t="s">
        <v>1342</v>
      </c>
      <c r="C353" s="3" t="s">
        <v>16</v>
      </c>
      <c r="D353" s="4" t="s">
        <v>17</v>
      </c>
      <c r="E353" s="4" t="s">
        <v>18</v>
      </c>
      <c r="F353" s="6" t="s">
        <v>16</v>
      </c>
      <c r="G353" s="3" t="s">
        <v>1343</v>
      </c>
      <c r="H353" s="3" t="s">
        <v>16</v>
      </c>
      <c r="I353" s="4" t="s">
        <v>1344</v>
      </c>
      <c r="J353" s="1" t="d">
        <v>2023-06-01</v>
      </c>
      <c r="K353" s="9" t="s">
        <v>20</v>
      </c>
      <c r="L353" s="5">
        <v>120</v>
      </c>
      <c r="M353" s="1" t="d">
        <v>2023-06-30</v>
      </c>
      <c r="N353" s="6" t="s">
        <v>16</v>
      </c>
      <c r="O353" s="9" t="s">
        <v>633</v>
      </c>
    </row>
    <row r="354" spans="1:15" ht="12" x14ac:dyDescent="0.15">
      <c r="A354" s="1" t="d">
        <v>2022-07-07</v>
      </c>
      <c r="B354" s="3" t="s">
        <v>1274</v>
      </c>
      <c r="C354" s="3" t="s">
        <v>1275</v>
      </c>
      <c r="D354" s="4" t="s">
        <v>17</v>
      </c>
      <c r="E354" s="4" t="s">
        <v>18</v>
      </c>
      <c r="F354" s="5">
        <v>31.34</v>
      </c>
      <c r="G354" s="3" t="s">
        <v>1201</v>
      </c>
      <c r="H354" s="3" t="s">
        <v>16</v>
      </c>
      <c r="I354" s="4" t="s">
        <v>1345</v>
      </c>
      <c r="J354" s="1" t="d">
        <v>2022-07-07</v>
      </c>
      <c r="K354" s="9" t="s">
        <v>20</v>
      </c>
      <c r="L354" s="5">
        <v>119.62</v>
      </c>
      <c r="M354" s="1" t="d">
        <v>2022-07-25</v>
      </c>
      <c r="N354" s="10">
        <v>-38.4</v>
      </c>
      <c r="O354" s="9" t="s">
        <v>50</v>
      </c>
    </row>
    <row r="355" spans="1:15" ht="24" x14ac:dyDescent="0.15">
      <c r="A355" s="1" t="d">
        <v>2025-01-02</v>
      </c>
      <c r="B355" s="3" t="s">
        <v>1346</v>
      </c>
      <c r="C355" s="3" t="s">
        <v>16</v>
      </c>
      <c r="D355" s="4" t="s">
        <v>17</v>
      </c>
      <c r="E355" s="4" t="s">
        <v>18</v>
      </c>
      <c r="F355" s="5">
        <v>150</v>
      </c>
      <c r="G355" s="3" t="s">
        <v>602</v>
      </c>
      <c r="H355" s="3" t="s">
        <v>1347</v>
      </c>
      <c r="I355" s="4" t="s">
        <v>1348</v>
      </c>
      <c r="J355" s="1" t="d">
        <v>2025-01-02</v>
      </c>
      <c r="K355" s="9" t="s">
        <v>20</v>
      </c>
      <c r="L355" s="5">
        <v>118.65</v>
      </c>
      <c r="M355" s="1" t="d">
        <v>2025-03-11</v>
      </c>
      <c r="N355" s="6" t="s">
        <v>16</v>
      </c>
      <c r="O355" s="9" t="s">
        <v>460</v>
      </c>
    </row>
    <row r="356" spans="1:15" ht="84" x14ac:dyDescent="0.15">
      <c r="A356" s="1" t="d">
        <v>2025-10-28</v>
      </c>
      <c r="B356" s="3" t="s">
        <v>1349</v>
      </c>
      <c r="C356" s="3" t="s">
        <v>16</v>
      </c>
      <c r="D356" s="4" t="s">
        <v>17</v>
      </c>
      <c r="E356" s="4" t="s">
        <v>18</v>
      </c>
      <c r="F356" s="5">
        <v>415.36</v>
      </c>
      <c r="G356" s="3" t="s">
        <v>1350</v>
      </c>
      <c r="H356" s="3" t="s">
        <v>1351</v>
      </c>
      <c r="I356" s="4" t="s">
        <v>1352</v>
      </c>
      <c r="J356" s="1" t="d">
        <v>2025-10-28</v>
      </c>
      <c r="K356" s="9" t="s">
        <v>20</v>
      </c>
      <c r="L356" s="5">
        <v>118.54</v>
      </c>
      <c r="M356" s="1" t="d">
        <v>2026-05-05</v>
      </c>
      <c r="N356" s="10">
        <v>18.2</v>
      </c>
      <c r="O356" s="9" t="s">
        <v>1353</v>
      </c>
    </row>
    <row r="357" spans="1:15" ht="24" x14ac:dyDescent="0.15">
      <c r="A357" s="1" t="d">
        <v>2025-07-02</v>
      </c>
      <c r="B357" s="3" t="s">
        <v>1354</v>
      </c>
      <c r="C357" s="3" t="s">
        <v>16</v>
      </c>
      <c r="D357" s="4" t="s">
        <v>17</v>
      </c>
      <c r="E357" s="4" t="s">
        <v>18</v>
      </c>
      <c r="F357" s="6" t="s">
        <v>16</v>
      </c>
      <c r="G357" s="3" t="s">
        <v>962</v>
      </c>
      <c r="H357" s="3" t="s">
        <v>16</v>
      </c>
      <c r="I357" s="4" t="s">
        <v>1355</v>
      </c>
      <c r="J357" s="1" t="d">
        <v>2025-07-02</v>
      </c>
      <c r="K357" s="9" t="s">
        <v>20</v>
      </c>
      <c r="L357" s="5">
        <v>117.76</v>
      </c>
      <c r="M357" s="1" t="d">
        <v>2025-07-02</v>
      </c>
      <c r="N357" s="6" t="s">
        <v>16</v>
      </c>
      <c r="O357" s="9" t="s">
        <v>1318</v>
      </c>
    </row>
    <row r="358" spans="1:15" ht="12" x14ac:dyDescent="0.15">
      <c r="A358" s="1" t="d">
        <v>2025-09-05</v>
      </c>
      <c r="B358" s="3" t="s">
        <v>1356</v>
      </c>
      <c r="C358" s="3" t="s">
        <v>16</v>
      </c>
      <c r="D358" s="4" t="s">
        <v>17</v>
      </c>
      <c r="E358" s="4" t="s">
        <v>18</v>
      </c>
      <c r="F358" s="6" t="s">
        <v>16</v>
      </c>
      <c r="G358" s="3" t="s">
        <v>1357</v>
      </c>
      <c r="H358" s="3" t="s">
        <v>16</v>
      </c>
      <c r="I358" s="4" t="s">
        <v>1358</v>
      </c>
      <c r="J358" s="1" t="d">
        <v>2025-09-05</v>
      </c>
      <c r="K358" s="9" t="s">
        <v>20</v>
      </c>
      <c r="L358" s="5">
        <v>117.45</v>
      </c>
      <c r="M358" s="1" t="d">
        <v>2025-09-05</v>
      </c>
      <c r="N358" s="5">
        <v>7.5</v>
      </c>
      <c r="O358" s="9" t="s">
        <v>31</v>
      </c>
    </row>
    <row r="359" spans="1:15" ht="24" x14ac:dyDescent="0.15">
      <c r="A359" s="1" t="d">
        <v>2022-04-06</v>
      </c>
      <c r="B359" s="3" t="s">
        <v>1359</v>
      </c>
      <c r="C359" s="3" t="s">
        <v>16</v>
      </c>
      <c r="D359" s="4" t="s">
        <v>17</v>
      </c>
      <c r="E359" s="4" t="s">
        <v>18</v>
      </c>
      <c r="F359" s="5">
        <v>571.13</v>
      </c>
      <c r="G359" s="3" t="s">
        <v>323</v>
      </c>
      <c r="H359" s="3" t="s">
        <v>16</v>
      </c>
      <c r="I359" s="4" t="s">
        <v>1360</v>
      </c>
      <c r="J359" s="1" t="d">
        <v>2022-04-06</v>
      </c>
      <c r="K359" s="9" t="s">
        <v>20</v>
      </c>
      <c r="L359" s="5">
        <v>115.65</v>
      </c>
      <c r="M359" s="1" t="d">
        <v>2022-08-25</v>
      </c>
      <c r="N359" s="6" t="s">
        <v>16</v>
      </c>
      <c r="O359" s="9" t="s">
        <v>1361</v>
      </c>
    </row>
    <row r="360" spans="1:15" ht="12" x14ac:dyDescent="0.15">
      <c r="A360" s="1" t="d">
        <v>2025-10-30</v>
      </c>
      <c r="B360" s="3" t="s">
        <v>1362</v>
      </c>
      <c r="C360" s="3" t="s">
        <v>16</v>
      </c>
      <c r="D360" s="4" t="s">
        <v>17</v>
      </c>
      <c r="E360" s="4" t="s">
        <v>18</v>
      </c>
      <c r="F360" s="5">
        <v>202.36</v>
      </c>
      <c r="G360" s="3" t="s">
        <v>1363</v>
      </c>
      <c r="H360" s="3" t="s">
        <v>1364</v>
      </c>
      <c r="I360" s="4" t="s">
        <v>1365</v>
      </c>
      <c r="J360" s="1" t="d">
        <v>2025-10-30</v>
      </c>
      <c r="K360" s="9" t="s">
        <v>20</v>
      </c>
      <c r="L360" s="5">
        <v>115.63</v>
      </c>
      <c r="M360" s="1" t="d">
        <v>2025-12-17</v>
      </c>
      <c r="N360" s="6" t="s">
        <v>16</v>
      </c>
      <c r="O360" s="9" t="s">
        <v>101</v>
      </c>
    </row>
    <row r="361" spans="1:15" ht="24" x14ac:dyDescent="0.15">
      <c r="A361" s="1" t="d">
        <v>2023-11-09</v>
      </c>
      <c r="B361" s="3" t="s">
        <v>1366</v>
      </c>
      <c r="C361" s="3" t="s">
        <v>16</v>
      </c>
      <c r="D361" s="4" t="s">
        <v>17</v>
      </c>
      <c r="E361" s="4" t="s">
        <v>18</v>
      </c>
      <c r="F361" s="5">
        <v>43.81</v>
      </c>
      <c r="G361" s="3" t="s">
        <v>120</v>
      </c>
      <c r="H361" s="3" t="s">
        <v>16</v>
      </c>
      <c r="I361" s="4" t="s">
        <v>1367</v>
      </c>
      <c r="J361" s="1" t="d">
        <v>2023-11-09</v>
      </c>
      <c r="K361" s="9" t="s">
        <v>20</v>
      </c>
      <c r="L361" s="5">
        <v>115.56</v>
      </c>
      <c r="M361" s="1" t="d">
        <v>2023-12-21</v>
      </c>
      <c r="N361" s="6" t="s">
        <v>16</v>
      </c>
      <c r="O361" s="9" t="s">
        <v>55</v>
      </c>
    </row>
    <row r="362" spans="1:15" ht="12" x14ac:dyDescent="0.15">
      <c r="A362" s="1" t="d">
        <v>2024-10-31</v>
      </c>
      <c r="B362" s="3" t="s">
        <v>1368</v>
      </c>
      <c r="C362" s="3" t="s">
        <v>16</v>
      </c>
      <c r="D362" s="4" t="s">
        <v>17</v>
      </c>
      <c r="E362" s="4" t="s">
        <v>18</v>
      </c>
      <c r="F362" s="5">
        <v>185</v>
      </c>
      <c r="G362" s="3" t="s">
        <v>1369</v>
      </c>
      <c r="H362" s="3" t="s">
        <v>16</v>
      </c>
      <c r="I362" s="4" t="s">
        <v>1370</v>
      </c>
      <c r="J362" s="1" t="d">
        <v>2024-10-31</v>
      </c>
      <c r="K362" s="9" t="s">
        <v>20</v>
      </c>
      <c r="L362" s="5">
        <v>115</v>
      </c>
      <c r="M362" s="1" t="d">
        <v>2024-12-06</v>
      </c>
      <c r="N362" s="6" t="s">
        <v>16</v>
      </c>
      <c r="O362" s="9" t="s">
        <v>40</v>
      </c>
    </row>
    <row r="363" spans="1:15" ht="24" x14ac:dyDescent="0.15">
      <c r="A363" s="1" t="d">
        <v>2026-07-14</v>
      </c>
      <c r="B363" s="3" t="s">
        <v>1371</v>
      </c>
      <c r="C363" s="3" t="s">
        <v>1372</v>
      </c>
      <c r="D363" s="4" t="s">
        <v>17</v>
      </c>
      <c r="E363" s="4" t="s">
        <v>18</v>
      </c>
      <c r="F363" s="5">
        <v>142.85</v>
      </c>
      <c r="G363" s="3" t="s">
        <v>1373</v>
      </c>
      <c r="H363" s="3" t="s">
        <v>1374</v>
      </c>
      <c r="I363" s="4" t="s">
        <v>1375</v>
      </c>
      <c r="J363" s="1" t="d">
        <v>2026-07-14</v>
      </c>
      <c r="K363" s="9" t="s">
        <v>20</v>
      </c>
      <c r="L363" s="5">
        <v>114.51</v>
      </c>
      <c r="M363" s="1" t="d">
        <v>2026-08-28</v>
      </c>
      <c r="N363" s="10">
        <v>48.7</v>
      </c>
      <c r="O363" s="9" t="s">
        <v>65</v>
      </c>
    </row>
    <row r="364" spans="1:15" ht="12" x14ac:dyDescent="0.15">
      <c r="A364" s="1" t="d">
        <v>2024-04-01</v>
      </c>
      <c r="B364" s="3" t="s">
        <v>1376</v>
      </c>
      <c r="C364" s="3" t="s">
        <v>16</v>
      </c>
      <c r="D364" s="4" t="s">
        <v>17</v>
      </c>
      <c r="E364" s="4" t="s">
        <v>18</v>
      </c>
      <c r="F364" s="5">
        <v>91.93</v>
      </c>
      <c r="G364" s="3" t="s">
        <v>1377</v>
      </c>
      <c r="H364" s="3" t="s">
        <v>16</v>
      </c>
      <c r="I364" s="4" t="s">
        <v>1378</v>
      </c>
      <c r="J364" s="1" t="d">
        <v>2024-04-01</v>
      </c>
      <c r="K364" s="9" t="s">
        <v>20</v>
      </c>
      <c r="L364" s="5">
        <v>114.17</v>
      </c>
      <c r="M364" s="1" t="d">
        <v>2024-07-05</v>
      </c>
      <c r="N364" s="6" t="s">
        <v>16</v>
      </c>
      <c r="O364" s="9" t="s">
        <v>530</v>
      </c>
    </row>
    <row r="365" spans="1:15" ht="12" x14ac:dyDescent="0.15">
      <c r="A365" s="1" t="d">
        <v>2025-01-14</v>
      </c>
      <c r="B365" s="3" t="s">
        <v>1379</v>
      </c>
      <c r="C365" s="3" t="s">
        <v>16</v>
      </c>
      <c r="D365" s="4" t="s">
        <v>17</v>
      </c>
      <c r="E365" s="4" t="s">
        <v>18</v>
      </c>
      <c r="F365" s="6" t="s">
        <v>16</v>
      </c>
      <c r="G365" s="3" t="s">
        <v>1380</v>
      </c>
      <c r="H365" s="3" t="s">
        <v>1381</v>
      </c>
      <c r="I365" s="4" t="s">
        <v>1382</v>
      </c>
      <c r="J365" s="1" t="d">
        <v>2025-01-14</v>
      </c>
      <c r="K365" s="9" t="s">
        <v>20</v>
      </c>
      <c r="L365" s="5">
        <v>113.24</v>
      </c>
      <c r="M365" s="1" t="d">
        <v>2025-06-02</v>
      </c>
      <c r="N365" s="5">
        <v>6.71</v>
      </c>
      <c r="O365" s="9" t="s">
        <v>633</v>
      </c>
    </row>
    <row r="366" spans="1:15" ht="24" x14ac:dyDescent="0.15">
      <c r="A366" s="1" t="d">
        <v>2021-11-18</v>
      </c>
      <c r="B366" s="3" t="s">
        <v>1383</v>
      </c>
      <c r="C366" s="3" t="s">
        <v>16</v>
      </c>
      <c r="D366" s="4" t="s">
        <v>17</v>
      </c>
      <c r="E366" s="4" t="s">
        <v>18</v>
      </c>
      <c r="F366" s="6" t="s">
        <v>16</v>
      </c>
      <c r="G366" s="3" t="s">
        <v>1384</v>
      </c>
      <c r="H366" s="3" t="s">
        <v>1385</v>
      </c>
      <c r="I366" s="4" t="s">
        <v>1386</v>
      </c>
      <c r="J366" s="1" t="d">
        <v>2021-11-18</v>
      </c>
      <c r="K366" s="9" t="s">
        <v>20</v>
      </c>
      <c r="L366" s="5">
        <v>113</v>
      </c>
      <c r="M366" s="1" t="d">
        <v>2022-02-01</v>
      </c>
      <c r="N366" s="6" t="s">
        <v>16</v>
      </c>
      <c r="O366" s="9" t="s">
        <v>1318</v>
      </c>
    </row>
    <row r="367" spans="1:15" ht="24" x14ac:dyDescent="0.15">
      <c r="A367" s="1" t="d">
        <v>2023-02-07</v>
      </c>
      <c r="B367" s="3" t="s">
        <v>1387</v>
      </c>
      <c r="C367" s="3" t="s">
        <v>16</v>
      </c>
      <c r="D367" s="4" t="s">
        <v>17</v>
      </c>
      <c r="E367" s="4" t="s">
        <v>18</v>
      </c>
      <c r="F367" s="5">
        <v>514</v>
      </c>
      <c r="G367" s="3" t="s">
        <v>1388</v>
      </c>
      <c r="H367" s="3" t="s">
        <v>1389</v>
      </c>
      <c r="I367" s="4" t="s">
        <v>1390</v>
      </c>
      <c r="J367" s="1" t="d">
        <v>2023-02-07</v>
      </c>
      <c r="K367" s="9" t="s">
        <v>20</v>
      </c>
      <c r="L367" s="5">
        <v>111.33</v>
      </c>
      <c r="M367" s="1" t="d">
        <v>2023-11-30</v>
      </c>
      <c r="N367" s="6" t="s">
        <v>16</v>
      </c>
      <c r="O367" s="9" t="s">
        <v>1391</v>
      </c>
    </row>
    <row r="368" spans="1:15" ht="24" x14ac:dyDescent="0.15">
      <c r="A368" s="1" t="d">
        <v>2024-03-19</v>
      </c>
      <c r="B368" s="3" t="s">
        <v>1392</v>
      </c>
      <c r="C368" s="3" t="s">
        <v>16</v>
      </c>
      <c r="D368" s="4" t="s">
        <v>17</v>
      </c>
      <c r="E368" s="4" t="s">
        <v>18</v>
      </c>
      <c r="F368" s="5">
        <v>55.5</v>
      </c>
      <c r="G368" s="3" t="s">
        <v>1393</v>
      </c>
      <c r="H368" s="3" t="s">
        <v>16</v>
      </c>
      <c r="I368" s="4" t="s">
        <v>1394</v>
      </c>
      <c r="J368" s="1" t="d">
        <v>2024-03-19</v>
      </c>
      <c r="K368" s="9" t="s">
        <v>20</v>
      </c>
      <c r="L368" s="5">
        <v>111</v>
      </c>
      <c r="M368" s="1" t="d">
        <v>2024-04-26</v>
      </c>
      <c r="N368" s="6" t="s">
        <v>16</v>
      </c>
      <c r="O368" s="9" t="s">
        <v>1395</v>
      </c>
    </row>
    <row r="369" spans="1:15" ht="12" x14ac:dyDescent="0.15">
      <c r="A369" s="1" t="d">
        <v>2022-12-08</v>
      </c>
      <c r="B369" s="3" t="s">
        <v>1396</v>
      </c>
      <c r="C369" s="3" t="s">
        <v>16</v>
      </c>
      <c r="D369" s="4" t="s">
        <v>17</v>
      </c>
      <c r="E369" s="4" t="s">
        <v>18</v>
      </c>
      <c r="F369" s="5">
        <v>218.19</v>
      </c>
      <c r="G369" s="3" t="s">
        <v>1397</v>
      </c>
      <c r="H369" s="3" t="s">
        <v>16</v>
      </c>
      <c r="I369" s="4" t="s">
        <v>1398</v>
      </c>
      <c r="J369" s="1" t="d">
        <v>2022-12-08</v>
      </c>
      <c r="K369" s="9" t="s">
        <v>20</v>
      </c>
      <c r="L369" s="5">
        <v>110.52</v>
      </c>
      <c r="M369" s="1" t="d">
        <v>2022-12-08</v>
      </c>
      <c r="N369" s="6" t="s">
        <v>16</v>
      </c>
      <c r="O369" s="9" t="s">
        <v>110</v>
      </c>
    </row>
    <row r="370" spans="1:15" ht="12" x14ac:dyDescent="0.15">
      <c r="A370" s="1" t="d">
        <v>2025-03-14</v>
      </c>
      <c r="B370" s="3" t="s">
        <v>1399</v>
      </c>
      <c r="C370" s="3" t="s">
        <v>1400</v>
      </c>
      <c r="D370" s="4" t="s">
        <v>17</v>
      </c>
      <c r="E370" s="4" t="s">
        <v>18</v>
      </c>
      <c r="F370" s="5">
        <v>70</v>
      </c>
      <c r="G370" s="3" t="s">
        <v>1401</v>
      </c>
      <c r="H370" s="3" t="s">
        <v>16</v>
      </c>
      <c r="I370" s="4" t="s">
        <v>1402</v>
      </c>
      <c r="J370" s="1" t="d">
        <v>2025-03-14</v>
      </c>
      <c r="K370" s="9" t="s">
        <v>20</v>
      </c>
      <c r="L370" s="5">
        <v>110.22</v>
      </c>
      <c r="M370" s="1" t="d">
        <v>2025-07-23</v>
      </c>
      <c r="N370" s="10">
        <v>70.5</v>
      </c>
      <c r="O370" s="9" t="s">
        <v>61</v>
      </c>
    </row>
    <row r="371" spans="1:15" ht="12" x14ac:dyDescent="0.15">
      <c r="A371" s="1" t="d">
        <v>2023-02-21</v>
      </c>
      <c r="B371" s="3" t="s">
        <v>1403</v>
      </c>
      <c r="C371" s="3" t="s">
        <v>1404</v>
      </c>
      <c r="D371" s="4" t="s">
        <v>17</v>
      </c>
      <c r="E371" s="4" t="s">
        <v>18</v>
      </c>
      <c r="F371" s="5">
        <v>4.3600000000000003</v>
      </c>
      <c r="G371" s="3" t="s">
        <v>1405</v>
      </c>
      <c r="H371" s="3" t="s">
        <v>16</v>
      </c>
      <c r="I371" s="4" t="s">
        <v>1406</v>
      </c>
      <c r="J371" s="1" t="d">
        <v>2023-02-21</v>
      </c>
      <c r="K371" s="9" t="s">
        <v>20</v>
      </c>
      <c r="L371" s="5">
        <v>110.14</v>
      </c>
      <c r="M371" s="1" t="d">
        <v>2023-02-16</v>
      </c>
      <c r="N371" s="5">
        <v>5.1100000000000003</v>
      </c>
      <c r="O371" s="9" t="s">
        <v>61</v>
      </c>
    </row>
    <row r="372" spans="1:15" ht="12" x14ac:dyDescent="0.15">
      <c r="A372" s="1" t="d">
        <v>2023-12-13</v>
      </c>
      <c r="B372" s="3" t="s">
        <v>1407</v>
      </c>
      <c r="C372" s="3" t="s">
        <v>1408</v>
      </c>
      <c r="D372" s="4" t="s">
        <v>17</v>
      </c>
      <c r="E372" s="4" t="s">
        <v>18</v>
      </c>
      <c r="F372" s="5">
        <v>48.9</v>
      </c>
      <c r="G372" s="3" t="s">
        <v>1409</v>
      </c>
      <c r="H372" s="3" t="s">
        <v>16</v>
      </c>
      <c r="I372" s="4" t="s">
        <v>1410</v>
      </c>
      <c r="J372" s="1" t="d">
        <v>2023-12-13</v>
      </c>
      <c r="K372" s="9" t="s">
        <v>20</v>
      </c>
      <c r="L372" s="5">
        <v>110.04</v>
      </c>
      <c r="M372" s="1" t="d">
        <v>2024-02-27</v>
      </c>
      <c r="N372" s="10">
        <v>-23.8</v>
      </c>
      <c r="O372" s="9" t="s">
        <v>50</v>
      </c>
    </row>
    <row r="373" spans="1:15" ht="24" x14ac:dyDescent="0.15">
      <c r="A373" s="1" t="d">
        <v>2022-03-01</v>
      </c>
      <c r="B373" s="3" t="s">
        <v>1411</v>
      </c>
      <c r="C373" s="3" t="s">
        <v>16</v>
      </c>
      <c r="D373" s="4" t="s">
        <v>17</v>
      </c>
      <c r="E373" s="4" t="s">
        <v>18</v>
      </c>
      <c r="F373" s="5">
        <v>50</v>
      </c>
      <c r="G373" s="3" t="s">
        <v>1343</v>
      </c>
      <c r="H373" s="3" t="s">
        <v>16</v>
      </c>
      <c r="I373" s="4" t="s">
        <v>1412</v>
      </c>
      <c r="J373" s="1" t="d">
        <v>2022-03-01</v>
      </c>
      <c r="K373" s="9" t="s">
        <v>20</v>
      </c>
      <c r="L373" s="5">
        <v>110</v>
      </c>
      <c r="M373" s="1" t="d">
        <v>2022-03-01</v>
      </c>
      <c r="N373" s="6" t="s">
        <v>16</v>
      </c>
      <c r="O373" s="9" t="s">
        <v>1395</v>
      </c>
    </row>
    <row r="374" spans="1:15" ht="24" x14ac:dyDescent="0.15">
      <c r="A374" s="1" t="d">
        <v>2024-06-04</v>
      </c>
      <c r="B374" s="3" t="s">
        <v>1413</v>
      </c>
      <c r="C374" s="3" t="s">
        <v>16</v>
      </c>
      <c r="D374" s="4" t="s">
        <v>17</v>
      </c>
      <c r="E374" s="4" t="s">
        <v>18</v>
      </c>
      <c r="F374" s="6" t="s">
        <v>16</v>
      </c>
      <c r="G374" s="3" t="s">
        <v>1414</v>
      </c>
      <c r="H374" s="3" t="s">
        <v>1415</v>
      </c>
      <c r="I374" s="4" t="s">
        <v>1416</v>
      </c>
      <c r="J374" s="1" t="d">
        <v>2024-06-04</v>
      </c>
      <c r="K374" s="9" t="s">
        <v>20</v>
      </c>
      <c r="L374" s="5">
        <v>108.81</v>
      </c>
      <c r="M374" s="1" t="d">
        <v>2024-08-31</v>
      </c>
      <c r="N374" s="6" t="s">
        <v>16</v>
      </c>
      <c r="O374" s="9" t="s">
        <v>1417</v>
      </c>
    </row>
    <row r="375" spans="1:15" ht="12" x14ac:dyDescent="0.15">
      <c r="A375" s="1" t="d">
        <v>2024-02-20</v>
      </c>
      <c r="B375" s="3" t="s">
        <v>1418</v>
      </c>
      <c r="C375" s="3" t="s">
        <v>16</v>
      </c>
      <c r="D375" s="4" t="s">
        <v>17</v>
      </c>
      <c r="E375" s="4" t="s">
        <v>18</v>
      </c>
      <c r="F375" s="6" t="s">
        <v>16</v>
      </c>
      <c r="G375" s="3" t="s">
        <v>1419</v>
      </c>
      <c r="H375" s="3" t="s">
        <v>16</v>
      </c>
      <c r="I375" s="4" t="s">
        <v>1420</v>
      </c>
      <c r="J375" s="1" t="d">
        <v>2024-02-20</v>
      </c>
      <c r="K375" s="9" t="s">
        <v>20</v>
      </c>
      <c r="L375" s="5">
        <v>108.19</v>
      </c>
      <c r="M375" s="1" t="d">
        <v>2024-02-20</v>
      </c>
      <c r="N375" s="6" t="s">
        <v>16</v>
      </c>
      <c r="O375" s="9" t="s">
        <v>633</v>
      </c>
    </row>
    <row r="376" spans="1:15" ht="12" x14ac:dyDescent="0.15">
      <c r="A376" s="1" t="d">
        <v>2022-02-24</v>
      </c>
      <c r="B376" s="3" t="s">
        <v>1421</v>
      </c>
      <c r="C376" s="3" t="s">
        <v>16</v>
      </c>
      <c r="D376" s="4" t="s">
        <v>17</v>
      </c>
      <c r="E376" s="4" t="s">
        <v>18</v>
      </c>
      <c r="F376" s="5">
        <v>112.12</v>
      </c>
      <c r="G376" s="3" t="s">
        <v>1422</v>
      </c>
      <c r="H376" s="3" t="s">
        <v>1423</v>
      </c>
      <c r="I376" s="4" t="s">
        <v>1424</v>
      </c>
      <c r="J376" s="1" t="d">
        <v>2022-02-24</v>
      </c>
      <c r="K376" s="9" t="s">
        <v>20</v>
      </c>
      <c r="L376" s="5">
        <v>107.75</v>
      </c>
      <c r="M376" s="1" t="d">
        <v>2022-05-12</v>
      </c>
      <c r="N376" s="10">
        <v>34.700000000000003</v>
      </c>
      <c r="O376" s="9" t="s">
        <v>110</v>
      </c>
    </row>
    <row r="377" spans="1:15" ht="12" x14ac:dyDescent="0.15">
      <c r="A377" s="1" t="d">
        <v>2022-02-09</v>
      </c>
      <c r="B377" s="3" t="s">
        <v>1425</v>
      </c>
      <c r="C377" s="3" t="s">
        <v>16</v>
      </c>
      <c r="D377" s="4" t="s">
        <v>17</v>
      </c>
      <c r="E377" s="4" t="s">
        <v>18</v>
      </c>
      <c r="F377" s="5">
        <v>350</v>
      </c>
      <c r="G377" s="3" t="s">
        <v>1426</v>
      </c>
      <c r="H377" s="3" t="s">
        <v>1427</v>
      </c>
      <c r="I377" s="4" t="s">
        <v>1428</v>
      </c>
      <c r="J377" s="1" t="d">
        <v>2022-02-09</v>
      </c>
      <c r="K377" s="9" t="s">
        <v>20</v>
      </c>
      <c r="L377" s="5">
        <v>106.84</v>
      </c>
      <c r="M377" s="1" t="d">
        <v>2022-02-22</v>
      </c>
      <c r="N377" s="6" t="s">
        <v>16</v>
      </c>
      <c r="O377" s="9" t="s">
        <v>381</v>
      </c>
    </row>
    <row r="378" spans="1:15" ht="12" x14ac:dyDescent="0.15">
      <c r="A378" s="1" t="d">
        <v>2022-05-09</v>
      </c>
      <c r="B378" s="3" t="s">
        <v>1429</v>
      </c>
      <c r="C378" s="3" t="s">
        <v>16</v>
      </c>
      <c r="D378" s="4" t="s">
        <v>17</v>
      </c>
      <c r="E378" s="4" t="s">
        <v>18</v>
      </c>
      <c r="F378" s="6" t="s">
        <v>16</v>
      </c>
      <c r="G378" s="3" t="s">
        <v>962</v>
      </c>
      <c r="H378" s="3" t="s">
        <v>1430</v>
      </c>
      <c r="I378" s="4" t="s">
        <v>1431</v>
      </c>
      <c r="J378" s="1" t="d">
        <v>2022-05-09</v>
      </c>
      <c r="K378" s="9" t="s">
        <v>20</v>
      </c>
      <c r="L378" s="5">
        <v>105.34</v>
      </c>
      <c r="M378" s="1" t="d">
        <v>2022-05-09</v>
      </c>
      <c r="N378" s="6" t="s">
        <v>16</v>
      </c>
      <c r="O378" s="9" t="s">
        <v>633</v>
      </c>
    </row>
    <row r="379" spans="1:15" ht="12" x14ac:dyDescent="0.15">
      <c r="A379" s="1" t="d">
        <v>2025-09-18</v>
      </c>
      <c r="B379" s="3" t="s">
        <v>1432</v>
      </c>
      <c r="C379" s="3" t="s">
        <v>1433</v>
      </c>
      <c r="D379" s="4" t="s">
        <v>17</v>
      </c>
      <c r="E379" s="4" t="s">
        <v>18</v>
      </c>
      <c r="F379" s="6" t="s">
        <v>16</v>
      </c>
      <c r="G379" s="3" t="s">
        <v>1434</v>
      </c>
      <c r="H379" s="3" t="s">
        <v>1435</v>
      </c>
      <c r="I379" s="4" t="s">
        <v>1436</v>
      </c>
      <c r="J379" s="1" t="d">
        <v>2025-09-18</v>
      </c>
      <c r="K379" s="9" t="s">
        <v>20</v>
      </c>
      <c r="L379" s="5">
        <v>105.33</v>
      </c>
      <c r="M379" s="1" t="d">
        <v>2025-09-18</v>
      </c>
      <c r="N379" s="10">
        <v>33.4</v>
      </c>
      <c r="O379" s="9" t="s">
        <v>119</v>
      </c>
    </row>
    <row r="380" spans="1:15" ht="24" x14ac:dyDescent="0.15">
      <c r="A380" s="1" t="d">
        <v>2022-05-13</v>
      </c>
      <c r="B380" s="3" t="s">
        <v>1421</v>
      </c>
      <c r="C380" s="3" t="s">
        <v>16</v>
      </c>
      <c r="D380" s="4" t="s">
        <v>17</v>
      </c>
      <c r="E380" s="4" t="s">
        <v>18</v>
      </c>
      <c r="F380" s="5">
        <v>37.340000000000003</v>
      </c>
      <c r="G380" s="3" t="s">
        <v>1422</v>
      </c>
      <c r="H380" s="3" t="s">
        <v>16</v>
      </c>
      <c r="I380" s="4" t="s">
        <v>1437</v>
      </c>
      <c r="J380" s="1" t="d">
        <v>2022-05-13</v>
      </c>
      <c r="K380" s="9" t="s">
        <v>20</v>
      </c>
      <c r="L380" s="5">
        <v>104.24</v>
      </c>
      <c r="M380" s="1" t="d">
        <v>2022-06-10</v>
      </c>
      <c r="N380" s="10">
        <v>34.700000000000003</v>
      </c>
      <c r="O380" s="9" t="s">
        <v>115</v>
      </c>
    </row>
    <row r="381" spans="1:15" ht="12" x14ac:dyDescent="0.15">
      <c r="A381" s="1" t="d">
        <v>2024-06-20</v>
      </c>
      <c r="B381" s="3" t="s">
        <v>1438</v>
      </c>
      <c r="C381" s="3" t="s">
        <v>16</v>
      </c>
      <c r="D381" s="4" t="s">
        <v>17</v>
      </c>
      <c r="E381" s="4" t="s">
        <v>18</v>
      </c>
      <c r="F381" s="5">
        <v>95.76</v>
      </c>
      <c r="G381" s="3" t="s">
        <v>1439</v>
      </c>
      <c r="H381" s="3" t="s">
        <v>16</v>
      </c>
      <c r="I381" s="4" t="s">
        <v>1440</v>
      </c>
      <c r="J381" s="1" t="d">
        <v>2024-06-20</v>
      </c>
      <c r="K381" s="9" t="s">
        <v>20</v>
      </c>
      <c r="L381" s="5">
        <v>103.74</v>
      </c>
      <c r="M381" s="1" t="d">
        <v>2024-08-02</v>
      </c>
      <c r="N381" s="6" t="s">
        <v>16</v>
      </c>
      <c r="O381" s="9" t="s">
        <v>340</v>
      </c>
    </row>
    <row r="382" spans="1:15" ht="24" x14ac:dyDescent="0.15">
      <c r="A382" s="1" t="d">
        <v>2022-04-27</v>
      </c>
      <c r="B382" s="3" t="s">
        <v>1441</v>
      </c>
      <c r="C382" s="3" t="s">
        <v>16</v>
      </c>
      <c r="D382" s="4" t="s">
        <v>17</v>
      </c>
      <c r="E382" s="4" t="s">
        <v>18</v>
      </c>
      <c r="F382" s="6" t="s">
        <v>16</v>
      </c>
      <c r="G382" s="3" t="s">
        <v>1442</v>
      </c>
      <c r="H382" s="3" t="s">
        <v>16</v>
      </c>
      <c r="I382" s="4" t="s">
        <v>1443</v>
      </c>
      <c r="J382" s="1" t="d">
        <v>2022-04-27</v>
      </c>
      <c r="K382" s="9" t="s">
        <v>20</v>
      </c>
      <c r="L382" s="5">
        <v>103.29</v>
      </c>
      <c r="M382" s="1" t="d">
        <v>2022-06-28</v>
      </c>
      <c r="N382" s="6" t="s">
        <v>16</v>
      </c>
      <c r="O382" s="9" t="s">
        <v>1444</v>
      </c>
    </row>
    <row r="383" spans="1:15" ht="24" x14ac:dyDescent="0.15">
      <c r="A383" s="1" t="d">
        <v>2024-04-25</v>
      </c>
      <c r="B383" s="3" t="s">
        <v>1445</v>
      </c>
      <c r="C383" s="3" t="s">
        <v>16</v>
      </c>
      <c r="D383" s="4" t="s">
        <v>17</v>
      </c>
      <c r="E383" s="4" t="s">
        <v>18</v>
      </c>
      <c r="F383" s="5">
        <v>258.38</v>
      </c>
      <c r="G383" s="3" t="s">
        <v>1446</v>
      </c>
      <c r="H383" s="3" t="s">
        <v>1447</v>
      </c>
      <c r="I383" s="4" t="s">
        <v>1448</v>
      </c>
      <c r="J383" s="1" t="d">
        <v>2024-04-25</v>
      </c>
      <c r="K383" s="9" t="s">
        <v>20</v>
      </c>
      <c r="L383" s="5">
        <v>103.05</v>
      </c>
      <c r="M383" s="1" t="d">
        <v>2024-08-20</v>
      </c>
      <c r="N383" s="6" t="s">
        <v>16</v>
      </c>
      <c r="O383" s="9" t="s">
        <v>1449</v>
      </c>
    </row>
    <row r="384" spans="1:15" ht="24" x14ac:dyDescent="0.15">
      <c r="A384" s="1" t="d">
        <v>2022-05-09</v>
      </c>
      <c r="B384" s="3" t="s">
        <v>1450</v>
      </c>
      <c r="C384" s="3" t="s">
        <v>16</v>
      </c>
      <c r="D384" s="4" t="s">
        <v>17</v>
      </c>
      <c r="E384" s="4" t="s">
        <v>18</v>
      </c>
      <c r="F384" s="5">
        <v>1368.97</v>
      </c>
      <c r="G384" s="3" t="s">
        <v>1451</v>
      </c>
      <c r="H384" s="3" t="s">
        <v>16</v>
      </c>
      <c r="I384" s="4" t="s">
        <v>1452</v>
      </c>
      <c r="J384" s="1" t="d">
        <v>2022-05-09</v>
      </c>
      <c r="K384" s="9" t="s">
        <v>20</v>
      </c>
      <c r="L384" s="5">
        <v>103.03</v>
      </c>
      <c r="M384" s="1" t="d">
        <v>2022-07-07</v>
      </c>
      <c r="N384" s="6" t="s">
        <v>16</v>
      </c>
      <c r="O384" s="9" t="s">
        <v>93</v>
      </c>
    </row>
    <row r="385" spans="1:15" ht="36" x14ac:dyDescent="0.15">
      <c r="A385" s="1" t="d">
        <v>2023-09-27</v>
      </c>
      <c r="B385" s="3" t="s">
        <v>1453</v>
      </c>
      <c r="C385" s="3" t="s">
        <v>16</v>
      </c>
      <c r="D385" s="4" t="s">
        <v>17</v>
      </c>
      <c r="E385" s="4" t="s">
        <v>18</v>
      </c>
      <c r="F385" s="5">
        <v>102.58</v>
      </c>
      <c r="G385" s="3" t="s">
        <v>1454</v>
      </c>
      <c r="H385" s="3" t="s">
        <v>16</v>
      </c>
      <c r="I385" s="4" t="s">
        <v>1455</v>
      </c>
      <c r="J385" s="1" t="d">
        <v>2023-09-27</v>
      </c>
      <c r="K385" s="9" t="s">
        <v>20</v>
      </c>
      <c r="L385" s="5">
        <v>102.62</v>
      </c>
      <c r="M385" s="1" t="d">
        <v>2023-11-10</v>
      </c>
      <c r="N385" s="6" t="s">
        <v>16</v>
      </c>
      <c r="O385" s="9" t="s">
        <v>1456</v>
      </c>
    </row>
    <row r="386" spans="1:15" ht="24" x14ac:dyDescent="0.15">
      <c r="A386" s="1" t="d">
        <v>2025-01-24</v>
      </c>
      <c r="B386" s="3" t="s">
        <v>1457</v>
      </c>
      <c r="C386" s="3" t="s">
        <v>16</v>
      </c>
      <c r="D386" s="4" t="s">
        <v>17</v>
      </c>
      <c r="E386" s="4" t="s">
        <v>18</v>
      </c>
      <c r="F386" s="5">
        <v>482.95</v>
      </c>
      <c r="G386" s="3" t="s">
        <v>1458</v>
      </c>
      <c r="H386" s="3" t="s">
        <v>1459</v>
      </c>
      <c r="I386" s="4" t="s">
        <v>1460</v>
      </c>
      <c r="J386" s="1" t="d">
        <v>2025-01-24</v>
      </c>
      <c r="K386" s="9" t="s">
        <v>20</v>
      </c>
      <c r="L386" s="5">
        <v>102.4</v>
      </c>
      <c r="M386" s="1" t="d">
        <v>2025-04-04</v>
      </c>
      <c r="N386" s="5">
        <v>7.81</v>
      </c>
      <c r="O386" s="9" t="s">
        <v>40</v>
      </c>
    </row>
    <row r="387" spans="1:15" ht="12" x14ac:dyDescent="0.15">
      <c r="A387" s="1" t="d">
        <v>2025-05-07</v>
      </c>
      <c r="B387" s="3" t="s">
        <v>685</v>
      </c>
      <c r="C387" s="3" t="s">
        <v>16</v>
      </c>
      <c r="D387" s="4" t="s">
        <v>17</v>
      </c>
      <c r="E387" s="4" t="s">
        <v>18</v>
      </c>
      <c r="F387" s="6" t="s">
        <v>16</v>
      </c>
      <c r="G387" s="3" t="s">
        <v>1461</v>
      </c>
      <c r="H387" s="3" t="s">
        <v>16</v>
      </c>
      <c r="I387" s="4" t="s">
        <v>1462</v>
      </c>
      <c r="J387" s="1" t="d">
        <v>2025-05-07</v>
      </c>
      <c r="K387" s="9" t="s">
        <v>20</v>
      </c>
      <c r="L387" s="5">
        <v>101.59</v>
      </c>
      <c r="M387" s="1" t="d">
        <v>2025-07-23</v>
      </c>
      <c r="N387" s="10">
        <v>-18.5</v>
      </c>
      <c r="O387" s="9" t="s">
        <v>334</v>
      </c>
    </row>
    <row r="388" spans="1:15" ht="24" x14ac:dyDescent="0.15">
      <c r="A388" s="1" t="d">
        <v>2022-08-15</v>
      </c>
      <c r="B388" s="3" t="s">
        <v>1463</v>
      </c>
      <c r="C388" s="3" t="s">
        <v>16</v>
      </c>
      <c r="D388" s="4" t="s">
        <v>17</v>
      </c>
      <c r="E388" s="4" t="s">
        <v>18</v>
      </c>
      <c r="F388" s="5">
        <v>746.74</v>
      </c>
      <c r="G388" s="3" t="s">
        <v>403</v>
      </c>
      <c r="H388" s="3" t="s">
        <v>16</v>
      </c>
      <c r="I388" s="4" t="s">
        <v>1464</v>
      </c>
      <c r="J388" s="1" t="d">
        <v>2022-08-15</v>
      </c>
      <c r="K388" s="9" t="s">
        <v>20</v>
      </c>
      <c r="L388" s="5">
        <v>100.56</v>
      </c>
      <c r="M388" s="1" t="d">
        <v>2022-12-15</v>
      </c>
      <c r="N388" s="6" t="s">
        <v>16</v>
      </c>
      <c r="O388" s="9" t="s">
        <v>299</v>
      </c>
    </row>
    <row r="389" spans="1:15" ht="12" x14ac:dyDescent="0.15">
      <c r="A389" s="1" t="d">
        <v>2026-01-20</v>
      </c>
      <c r="B389" s="3" t="s">
        <v>1465</v>
      </c>
      <c r="C389" s="3" t="s">
        <v>16</v>
      </c>
      <c r="D389" s="4" t="s">
        <v>17</v>
      </c>
      <c r="E389" s="4" t="s">
        <v>18</v>
      </c>
      <c r="F389" s="5">
        <v>290</v>
      </c>
      <c r="G389" s="3" t="s">
        <v>1466</v>
      </c>
      <c r="H389" s="3" t="s">
        <v>16</v>
      </c>
      <c r="I389" s="4" t="s">
        <v>1467</v>
      </c>
      <c r="J389" s="1" t="d">
        <v>2026-01-20</v>
      </c>
      <c r="K389" s="9" t="s">
        <v>20</v>
      </c>
      <c r="L389" s="5">
        <v>100</v>
      </c>
      <c r="M389" s="1" t="d">
        <v>2026-03-09</v>
      </c>
      <c r="N389" s="6" t="s">
        <v>16</v>
      </c>
      <c r="O389" s="9" t="s">
        <v>40</v>
      </c>
    </row>
    <row r="390" spans="1:15" ht="12" x14ac:dyDescent="0.15">
      <c r="A390" s="1" t="d">
        <v>2023-01-20</v>
      </c>
      <c r="B390" s="3" t="s">
        <v>1468</v>
      </c>
      <c r="C390" s="3" t="s">
        <v>16</v>
      </c>
      <c r="D390" s="4" t="s">
        <v>17</v>
      </c>
      <c r="E390" s="4" t="s">
        <v>18</v>
      </c>
      <c r="F390" s="5">
        <v>850.99</v>
      </c>
      <c r="G390" s="3" t="s">
        <v>403</v>
      </c>
      <c r="H390" s="3" t="s">
        <v>1469</v>
      </c>
      <c r="I390" s="4" t="s">
        <v>1470</v>
      </c>
      <c r="J390" s="1" t="d">
        <v>2023-01-20</v>
      </c>
      <c r="K390" s="9" t="s">
        <v>20</v>
      </c>
      <c r="L390" s="5">
        <v>98.93</v>
      </c>
      <c r="M390" s="1" t="d">
        <v>2023-04-06</v>
      </c>
      <c r="N390" s="6" t="s">
        <v>16</v>
      </c>
      <c r="O390" s="9" t="s">
        <v>340</v>
      </c>
    </row>
    <row r="391" spans="1:15" ht="36" x14ac:dyDescent="0.15">
      <c r="A391" s="1" t="d">
        <v>2024-11-11</v>
      </c>
      <c r="B391" s="3" t="s">
        <v>1471</v>
      </c>
      <c r="C391" s="3" t="s">
        <v>1472</v>
      </c>
      <c r="D391" s="4" t="s">
        <v>17</v>
      </c>
      <c r="E391" s="4" t="s">
        <v>18</v>
      </c>
      <c r="F391" s="5">
        <v>23.09</v>
      </c>
      <c r="G391" s="3" t="s">
        <v>1473</v>
      </c>
      <c r="H391" s="3" t="s">
        <v>16</v>
      </c>
      <c r="I391" s="4" t="s">
        <v>1474</v>
      </c>
      <c r="J391" s="1" t="d">
        <v>2024-11-11</v>
      </c>
      <c r="K391" s="9" t="s">
        <v>20</v>
      </c>
      <c r="L391" s="5">
        <v>98.26</v>
      </c>
      <c r="M391" s="1" t="d">
        <v>2024-11-30</v>
      </c>
      <c r="N391" s="10">
        <v>16.600000000000001</v>
      </c>
      <c r="O391" s="9" t="s">
        <v>1112</v>
      </c>
    </row>
    <row r="392" spans="1:15" ht="132" x14ac:dyDescent="0.15">
      <c r="A392" s="1" t="d">
        <v>2022-06-17</v>
      </c>
      <c r="B392" s="3" t="s">
        <v>1475</v>
      </c>
      <c r="C392" s="3" t="s">
        <v>1476</v>
      </c>
      <c r="D392" s="4" t="s">
        <v>17</v>
      </c>
      <c r="E392" s="4" t="s">
        <v>18</v>
      </c>
      <c r="F392" s="5">
        <v>136.75</v>
      </c>
      <c r="G392" s="3" t="s">
        <v>1477</v>
      </c>
      <c r="H392" s="3" t="s">
        <v>1478</v>
      </c>
      <c r="I392" s="4" t="s">
        <v>1479</v>
      </c>
      <c r="J392" s="1" t="d">
        <v>2022-06-17</v>
      </c>
      <c r="K392" s="9" t="s">
        <v>20</v>
      </c>
      <c r="L392" s="5">
        <v>97.75</v>
      </c>
      <c r="M392" s="1" t="d">
        <v>2022-06-17</v>
      </c>
      <c r="N392" s="10">
        <v>-11.7</v>
      </c>
      <c r="O392" s="9" t="s">
        <v>61</v>
      </c>
    </row>
    <row r="393" spans="1:15" ht="12" x14ac:dyDescent="0.15">
      <c r="A393" s="1" t="d">
        <v>2021-10-01</v>
      </c>
      <c r="B393" s="3" t="s">
        <v>1480</v>
      </c>
      <c r="C393" s="3" t="s">
        <v>16</v>
      </c>
      <c r="D393" s="4" t="s">
        <v>17</v>
      </c>
      <c r="E393" s="4" t="s">
        <v>18</v>
      </c>
      <c r="F393" s="5">
        <v>83.99</v>
      </c>
      <c r="G393" s="3" t="s">
        <v>1481</v>
      </c>
      <c r="H393" s="3" t="s">
        <v>1482</v>
      </c>
      <c r="I393" s="4" t="s">
        <v>1483</v>
      </c>
      <c r="J393" s="1" t="d">
        <v>2021-10-01</v>
      </c>
      <c r="K393" s="9" t="s">
        <v>20</v>
      </c>
      <c r="L393" s="5">
        <v>97.54</v>
      </c>
      <c r="M393" s="1" t="d">
        <v>2022-01-03</v>
      </c>
      <c r="N393" s="6" t="s">
        <v>16</v>
      </c>
      <c r="O393" s="9" t="s">
        <v>381</v>
      </c>
    </row>
    <row r="394" spans="1:15" ht="24" x14ac:dyDescent="0.15">
      <c r="A394" s="1" t="d">
        <v>2024-01-11</v>
      </c>
      <c r="B394" s="3" t="s">
        <v>1484</v>
      </c>
      <c r="C394" s="3" t="s">
        <v>16</v>
      </c>
      <c r="D394" s="4" t="s">
        <v>17</v>
      </c>
      <c r="E394" s="4" t="s">
        <v>18</v>
      </c>
      <c r="F394" s="5">
        <v>841.94</v>
      </c>
      <c r="G394" s="3" t="s">
        <v>1485</v>
      </c>
      <c r="H394" s="3" t="s">
        <v>1486</v>
      </c>
      <c r="I394" s="4" t="s">
        <v>1487</v>
      </c>
      <c r="J394" s="1" t="d">
        <v>2024-01-11</v>
      </c>
      <c r="K394" s="9" t="s">
        <v>20</v>
      </c>
      <c r="L394" s="5">
        <v>97.43</v>
      </c>
      <c r="M394" s="1" t="d">
        <v>2024-01-31</v>
      </c>
      <c r="N394" s="6" t="s">
        <v>16</v>
      </c>
      <c r="O394" s="9" t="s">
        <v>826</v>
      </c>
    </row>
    <row r="395" spans="1:15" ht="12" x14ac:dyDescent="0.15">
      <c r="A395" s="1" t="d">
        <v>2024-05-29</v>
      </c>
      <c r="B395" s="3" t="s">
        <v>1488</v>
      </c>
      <c r="C395" s="3" t="s">
        <v>1489</v>
      </c>
      <c r="D395" s="4" t="s">
        <v>17</v>
      </c>
      <c r="E395" s="4" t="s">
        <v>18</v>
      </c>
      <c r="F395" s="5">
        <v>20.85</v>
      </c>
      <c r="G395" s="3" t="s">
        <v>16</v>
      </c>
      <c r="H395" s="3" t="s">
        <v>1490</v>
      </c>
      <c r="I395" s="4" t="s">
        <v>1491</v>
      </c>
      <c r="J395" s="1" t="d">
        <v>2024-05-29</v>
      </c>
      <c r="K395" s="9" t="s">
        <v>20</v>
      </c>
      <c r="L395" s="5">
        <v>96.82</v>
      </c>
      <c r="M395" s="1" t="d">
        <v>2024-07-29</v>
      </c>
      <c r="N395" s="5">
        <v>-4.9400000000000004</v>
      </c>
      <c r="O395" s="9" t="s">
        <v>50</v>
      </c>
    </row>
    <row r="396" spans="1:15" ht="12" x14ac:dyDescent="0.15">
      <c r="A396" s="1" t="d">
        <v>2025-08-06</v>
      </c>
      <c r="B396" s="3" t="s">
        <v>1492</v>
      </c>
      <c r="C396" s="3" t="s">
        <v>16</v>
      </c>
      <c r="D396" s="4" t="s">
        <v>17</v>
      </c>
      <c r="E396" s="4" t="s">
        <v>18</v>
      </c>
      <c r="F396" s="5">
        <v>430</v>
      </c>
      <c r="G396" s="3" t="s">
        <v>1493</v>
      </c>
      <c r="H396" s="3" t="s">
        <v>16</v>
      </c>
      <c r="I396" s="4" t="s">
        <v>1494</v>
      </c>
      <c r="J396" s="1" t="d">
        <v>2025-08-06</v>
      </c>
      <c r="K396" s="9" t="s">
        <v>20</v>
      </c>
      <c r="L396" s="5">
        <v>96.05</v>
      </c>
      <c r="M396" s="1" t="d">
        <v>2025-11-21</v>
      </c>
      <c r="N396" s="10">
        <v>18.2</v>
      </c>
      <c r="O396" s="9" t="s">
        <v>101</v>
      </c>
    </row>
    <row r="397" spans="1:15" ht="12" x14ac:dyDescent="0.15">
      <c r="A397" s="1" t="d">
        <v>2024-11-11</v>
      </c>
      <c r="B397" s="3" t="s">
        <v>1495</v>
      </c>
      <c r="C397" s="3" t="s">
        <v>16</v>
      </c>
      <c r="D397" s="4" t="s">
        <v>17</v>
      </c>
      <c r="E397" s="4" t="s">
        <v>18</v>
      </c>
      <c r="F397" s="5">
        <v>110</v>
      </c>
      <c r="G397" s="3" t="s">
        <v>1496</v>
      </c>
      <c r="H397" s="3" t="s">
        <v>16</v>
      </c>
      <c r="I397" s="4" t="s">
        <v>1497</v>
      </c>
      <c r="J397" s="1" t="d">
        <v>2024-11-11</v>
      </c>
      <c r="K397" s="9" t="s">
        <v>20</v>
      </c>
      <c r="L397" s="5">
        <v>96</v>
      </c>
      <c r="M397" s="1" t="d">
        <v>2025-01-03</v>
      </c>
      <c r="N397" s="6" t="s">
        <v>16</v>
      </c>
      <c r="O397" s="9" t="s">
        <v>40</v>
      </c>
    </row>
    <row r="398" spans="1:15" ht="12" x14ac:dyDescent="0.15">
      <c r="A398" s="1" t="d">
        <v>2026-04-01</v>
      </c>
      <c r="B398" s="3" t="s">
        <v>1498</v>
      </c>
      <c r="C398" s="3" t="s">
        <v>16</v>
      </c>
      <c r="D398" s="4" t="s">
        <v>17</v>
      </c>
      <c r="E398" s="4" t="s">
        <v>18</v>
      </c>
      <c r="F398" s="6" t="s">
        <v>16</v>
      </c>
      <c r="G398" s="3" t="s">
        <v>1499</v>
      </c>
      <c r="H398" s="3" t="s">
        <v>16</v>
      </c>
      <c r="I398" s="4" t="s">
        <v>1500</v>
      </c>
      <c r="J398" s="1" t="d">
        <v>2026-04-01</v>
      </c>
      <c r="K398" s="9" t="s">
        <v>20</v>
      </c>
      <c r="L398" s="5">
        <v>95.9</v>
      </c>
      <c r="M398" s="1" t="d">
        <v>2026-04-01</v>
      </c>
      <c r="N398" s="6" t="s">
        <v>16</v>
      </c>
      <c r="O398" s="9" t="s">
        <v>633</v>
      </c>
    </row>
    <row r="399" spans="1:15" ht="12" x14ac:dyDescent="0.15">
      <c r="A399" s="1" t="d">
        <v>2024-10-24</v>
      </c>
      <c r="B399" s="3" t="s">
        <v>1501</v>
      </c>
      <c r="C399" s="3" t="s">
        <v>16</v>
      </c>
      <c r="D399" s="4" t="s">
        <v>17</v>
      </c>
      <c r="E399" s="4" t="s">
        <v>18</v>
      </c>
      <c r="F399" s="5">
        <v>1931.17</v>
      </c>
      <c r="G399" s="3" t="s">
        <v>1502</v>
      </c>
      <c r="H399" s="3" t="s">
        <v>1503</v>
      </c>
      <c r="I399" s="4" t="s">
        <v>1504</v>
      </c>
      <c r="J399" s="1" t="d">
        <v>2024-10-24</v>
      </c>
      <c r="K399" s="9" t="s">
        <v>20</v>
      </c>
      <c r="L399" s="5">
        <v>94.61</v>
      </c>
      <c r="M399" s="1" t="d">
        <v>2024-11-11</v>
      </c>
      <c r="N399" s="6" t="s">
        <v>16</v>
      </c>
      <c r="O399" s="9" t="s">
        <v>381</v>
      </c>
    </row>
    <row r="400" spans="1:15" ht="24" x14ac:dyDescent="0.15">
      <c r="A400" s="1" t="d">
        <v>2025-08-10</v>
      </c>
      <c r="B400" s="3" t="s">
        <v>1505</v>
      </c>
      <c r="C400" s="3" t="s">
        <v>1506</v>
      </c>
      <c r="D400" s="4" t="s">
        <v>17</v>
      </c>
      <c r="E400" s="4" t="s">
        <v>18</v>
      </c>
      <c r="F400" s="5">
        <v>1883.89</v>
      </c>
      <c r="G400" s="3" t="s">
        <v>1507</v>
      </c>
      <c r="H400" s="3" t="s">
        <v>1508</v>
      </c>
      <c r="I400" s="4" t="s">
        <v>1509</v>
      </c>
      <c r="J400" s="1" t="d">
        <v>2025-08-10</v>
      </c>
      <c r="K400" s="9" t="s">
        <v>20</v>
      </c>
      <c r="L400" s="5">
        <v>93.98</v>
      </c>
      <c r="M400" s="1" t="d">
        <v>2026-06-17</v>
      </c>
      <c r="N400" s="10">
        <v>-120.7</v>
      </c>
      <c r="O400" s="9" t="s">
        <v>1101</v>
      </c>
    </row>
    <row r="401" spans="1:15" ht="36" x14ac:dyDescent="0.15">
      <c r="A401" s="1" t="d">
        <v>2022-07-21</v>
      </c>
      <c r="B401" s="3" t="s">
        <v>1510</v>
      </c>
      <c r="C401" s="3" t="s">
        <v>16</v>
      </c>
      <c r="D401" s="4" t="s">
        <v>17</v>
      </c>
      <c r="E401" s="4" t="s">
        <v>18</v>
      </c>
      <c r="F401" s="5">
        <v>192.52</v>
      </c>
      <c r="G401" s="3" t="s">
        <v>1511</v>
      </c>
      <c r="H401" s="3" t="s">
        <v>16</v>
      </c>
      <c r="I401" s="4" t="s">
        <v>1512</v>
      </c>
      <c r="J401" s="1" t="d">
        <v>2022-07-21</v>
      </c>
      <c r="K401" s="9" t="s">
        <v>20</v>
      </c>
      <c r="L401" s="5">
        <v>93.87</v>
      </c>
      <c r="M401" s="1" t="d">
        <v>2022-08-19</v>
      </c>
      <c r="N401" s="6" t="s">
        <v>16</v>
      </c>
      <c r="O401" s="9" t="s">
        <v>1513</v>
      </c>
    </row>
    <row r="402" spans="1:15" ht="12" x14ac:dyDescent="0.15">
      <c r="A402" s="1" t="d">
        <v>2022-06-13</v>
      </c>
      <c r="B402" s="3" t="s">
        <v>1510</v>
      </c>
      <c r="C402" s="3" t="s">
        <v>16</v>
      </c>
      <c r="D402" s="4" t="s">
        <v>17</v>
      </c>
      <c r="E402" s="4" t="s">
        <v>18</v>
      </c>
      <c r="F402" s="6" t="s">
        <v>16</v>
      </c>
      <c r="G402" s="3" t="s">
        <v>1511</v>
      </c>
      <c r="H402" s="3" t="s">
        <v>16</v>
      </c>
      <c r="I402" s="4" t="s">
        <v>1514</v>
      </c>
      <c r="J402" s="1" t="d">
        <v>2022-06-13</v>
      </c>
      <c r="K402" s="9" t="s">
        <v>20</v>
      </c>
      <c r="L402" s="5">
        <v>93.87</v>
      </c>
      <c r="M402" s="1" t="d">
        <v>2022-06-13</v>
      </c>
      <c r="N402" s="6" t="s">
        <v>16</v>
      </c>
      <c r="O402" s="9" t="s">
        <v>31</v>
      </c>
    </row>
    <row r="403" spans="1:15" ht="12" x14ac:dyDescent="0.15">
      <c r="A403" s="1" t="d">
        <v>2022-01-24</v>
      </c>
      <c r="B403" s="3" t="s">
        <v>1515</v>
      </c>
      <c r="C403" s="3" t="s">
        <v>16</v>
      </c>
      <c r="D403" s="4" t="s">
        <v>17</v>
      </c>
      <c r="E403" s="4" t="s">
        <v>18</v>
      </c>
      <c r="F403" s="6" t="s">
        <v>16</v>
      </c>
      <c r="G403" s="3" t="s">
        <v>1516</v>
      </c>
      <c r="H403" s="3" t="s">
        <v>1517</v>
      </c>
      <c r="I403" s="4" t="s">
        <v>1518</v>
      </c>
      <c r="J403" s="1" t="d">
        <v>2022-01-24</v>
      </c>
      <c r="K403" s="9" t="s">
        <v>20</v>
      </c>
      <c r="L403" s="5">
        <v>92.47</v>
      </c>
      <c r="M403" s="1" t="d">
        <v>2022-01-24</v>
      </c>
      <c r="N403" s="6" t="s">
        <v>16</v>
      </c>
      <c r="O403" s="9" t="s">
        <v>633</v>
      </c>
    </row>
    <row r="404" spans="1:15" ht="24" x14ac:dyDescent="0.15">
      <c r="A404" s="1" t="d">
        <v>2021-12-22</v>
      </c>
      <c r="B404" s="3" t="s">
        <v>1515</v>
      </c>
      <c r="C404" s="3" t="s">
        <v>16</v>
      </c>
      <c r="D404" s="4" t="s">
        <v>17</v>
      </c>
      <c r="E404" s="4" t="s">
        <v>18</v>
      </c>
      <c r="F404" s="6" t="s">
        <v>16</v>
      </c>
      <c r="G404" s="3" t="s">
        <v>16</v>
      </c>
      <c r="H404" s="3" t="s">
        <v>1519</v>
      </c>
      <c r="I404" s="4" t="s">
        <v>1520</v>
      </c>
      <c r="J404" s="1" t="d">
        <v>2021-12-22</v>
      </c>
      <c r="K404" s="9" t="s">
        <v>20</v>
      </c>
      <c r="L404" s="5">
        <v>92.47</v>
      </c>
      <c r="M404" s="1" t="d">
        <v>2021-12-22</v>
      </c>
      <c r="N404" s="6" t="s">
        <v>16</v>
      </c>
      <c r="O404" s="9" t="s">
        <v>869</v>
      </c>
    </row>
    <row r="405" spans="1:15" ht="12" x14ac:dyDescent="0.15">
      <c r="A405" s="1" t="d">
        <v>2024-03-18</v>
      </c>
      <c r="B405" s="3" t="s">
        <v>1521</v>
      </c>
      <c r="C405" s="3" t="s">
        <v>16</v>
      </c>
      <c r="D405" s="4" t="s">
        <v>17</v>
      </c>
      <c r="E405" s="4" t="s">
        <v>18</v>
      </c>
      <c r="F405" s="5">
        <v>46.8</v>
      </c>
      <c r="G405" s="3" t="s">
        <v>1522</v>
      </c>
      <c r="H405" s="3" t="s">
        <v>1523</v>
      </c>
      <c r="I405" s="4" t="s">
        <v>1524</v>
      </c>
      <c r="J405" s="1" t="d">
        <v>2024-03-18</v>
      </c>
      <c r="K405" s="9" t="s">
        <v>20</v>
      </c>
      <c r="L405" s="5">
        <v>91.41</v>
      </c>
      <c r="M405" s="1" t="d">
        <v>2024-06-04</v>
      </c>
      <c r="N405" s="5">
        <v>8.3800000000000008</v>
      </c>
      <c r="O405" s="9" t="s">
        <v>759</v>
      </c>
    </row>
    <row r="406" spans="1:15" ht="12" x14ac:dyDescent="0.15">
      <c r="A406" s="1" t="d">
        <v>2024-04-09</v>
      </c>
      <c r="B406" s="3" t="s">
        <v>1525</v>
      </c>
      <c r="C406" s="3" t="s">
        <v>1526</v>
      </c>
      <c r="D406" s="4" t="s">
        <v>17</v>
      </c>
      <c r="E406" s="4" t="s">
        <v>18</v>
      </c>
      <c r="F406" s="5">
        <v>45.53</v>
      </c>
      <c r="G406" s="3" t="s">
        <v>16</v>
      </c>
      <c r="H406" s="3" t="s">
        <v>16</v>
      </c>
      <c r="I406" s="4" t="s">
        <v>1527</v>
      </c>
      <c r="J406" s="1" t="d">
        <v>2024-04-09</v>
      </c>
      <c r="K406" s="9" t="s">
        <v>20</v>
      </c>
      <c r="L406" s="5">
        <v>91.35</v>
      </c>
      <c r="M406" s="1" t="d">
        <v>2024-04-29</v>
      </c>
      <c r="N406" s="10">
        <v>-49.4</v>
      </c>
      <c r="O406" s="9" t="s">
        <v>831</v>
      </c>
    </row>
    <row r="407" spans="1:15" ht="12" x14ac:dyDescent="0.15">
      <c r="A407" s="1" t="d">
        <v>2024-07-05</v>
      </c>
      <c r="B407" s="3" t="s">
        <v>1528</v>
      </c>
      <c r="C407" s="3" t="s">
        <v>16</v>
      </c>
      <c r="D407" s="4" t="s">
        <v>17</v>
      </c>
      <c r="E407" s="4" t="s">
        <v>18</v>
      </c>
      <c r="F407" s="5">
        <v>216.52</v>
      </c>
      <c r="G407" s="3" t="s">
        <v>1529</v>
      </c>
      <c r="H407" s="3" t="s">
        <v>998</v>
      </c>
      <c r="I407" s="4" t="s">
        <v>1530</v>
      </c>
      <c r="J407" s="1" t="d">
        <v>2024-07-05</v>
      </c>
      <c r="K407" s="9" t="s">
        <v>20</v>
      </c>
      <c r="L407" s="5">
        <v>90.07</v>
      </c>
      <c r="M407" s="1" t="d">
        <v>2025-06-05</v>
      </c>
      <c r="N407" s="7">
        <v>0.82299999999999995</v>
      </c>
      <c r="O407" s="9" t="s">
        <v>1531</v>
      </c>
    </row>
    <row r="408" spans="1:15" ht="12" x14ac:dyDescent="0.15">
      <c r="A408" s="1" t="d">
        <v>2026-02-10</v>
      </c>
      <c r="B408" s="3" t="s">
        <v>1532</v>
      </c>
      <c r="C408" s="3" t="s">
        <v>16</v>
      </c>
      <c r="D408" s="4" t="s">
        <v>17</v>
      </c>
      <c r="E408" s="4" t="s">
        <v>18</v>
      </c>
      <c r="F408" s="5">
        <v>230</v>
      </c>
      <c r="G408" s="3" t="s">
        <v>1533</v>
      </c>
      <c r="H408" s="3" t="s">
        <v>16</v>
      </c>
      <c r="I408" s="4" t="s">
        <v>1534</v>
      </c>
      <c r="J408" s="1" t="d">
        <v>2026-02-10</v>
      </c>
      <c r="K408" s="9" t="s">
        <v>20</v>
      </c>
      <c r="L408" s="5">
        <v>90</v>
      </c>
      <c r="M408" s="1" t="d">
        <v>2026-02-10</v>
      </c>
      <c r="N408" s="6" t="s">
        <v>16</v>
      </c>
      <c r="O408" s="9" t="s">
        <v>40</v>
      </c>
    </row>
    <row r="409" spans="1:15" ht="12" x14ac:dyDescent="0.15">
      <c r="A409" s="1" t="d">
        <v>2024-03-05</v>
      </c>
      <c r="B409" s="3" t="s">
        <v>1535</v>
      </c>
      <c r="C409" s="3" t="s">
        <v>16</v>
      </c>
      <c r="D409" s="4" t="s">
        <v>17</v>
      </c>
      <c r="E409" s="4" t="s">
        <v>18</v>
      </c>
      <c r="F409" s="5">
        <v>1270.4000000000001</v>
      </c>
      <c r="G409" s="3" t="s">
        <v>664</v>
      </c>
      <c r="H409" s="3" t="s">
        <v>16</v>
      </c>
      <c r="I409" s="4" t="s">
        <v>1536</v>
      </c>
      <c r="J409" s="1" t="d">
        <v>2024-03-05</v>
      </c>
      <c r="K409" s="9" t="s">
        <v>20</v>
      </c>
      <c r="L409" s="5">
        <v>90</v>
      </c>
      <c r="M409" s="1" t="d">
        <v>2024-05-30</v>
      </c>
      <c r="N409" s="6" t="s">
        <v>16</v>
      </c>
      <c r="O409" s="9" t="s">
        <v>340</v>
      </c>
    </row>
    <row r="410" spans="1:15" ht="12" x14ac:dyDescent="0.15">
      <c r="A410" s="1" t="d">
        <v>2025-11-13</v>
      </c>
      <c r="B410" s="3" t="s">
        <v>1537</v>
      </c>
      <c r="C410" s="3" t="s">
        <v>16</v>
      </c>
      <c r="D410" s="4" t="s">
        <v>17</v>
      </c>
      <c r="E410" s="4" t="s">
        <v>18</v>
      </c>
      <c r="F410" s="6" t="s">
        <v>16</v>
      </c>
      <c r="G410" s="3" t="s">
        <v>1538</v>
      </c>
      <c r="H410" s="3" t="s">
        <v>1539</v>
      </c>
      <c r="I410" s="4" t="s">
        <v>1540</v>
      </c>
      <c r="J410" s="1" t="d">
        <v>2025-11-13</v>
      </c>
      <c r="K410" s="9" t="s">
        <v>20</v>
      </c>
      <c r="L410" s="5">
        <v>89.14</v>
      </c>
      <c r="M410" s="1" t="d">
        <v>2026-04-01</v>
      </c>
      <c r="N410" s="5">
        <v>9.08</v>
      </c>
      <c r="O410" s="9" t="s">
        <v>212</v>
      </c>
    </row>
    <row r="411" spans="1:15" ht="48" x14ac:dyDescent="0.15">
      <c r="A411" s="1" t="d">
        <v>2024-05-15</v>
      </c>
      <c r="B411" s="3" t="s">
        <v>1541</v>
      </c>
      <c r="C411" s="3" t="s">
        <v>16</v>
      </c>
      <c r="D411" s="4" t="s">
        <v>17</v>
      </c>
      <c r="E411" s="4" t="s">
        <v>18</v>
      </c>
      <c r="F411" s="5">
        <v>30.71</v>
      </c>
      <c r="G411" s="3" t="s">
        <v>16</v>
      </c>
      <c r="H411" s="3" t="s">
        <v>1542</v>
      </c>
      <c r="I411" s="4" t="s">
        <v>1543</v>
      </c>
      <c r="J411" s="1" t="d">
        <v>2024-05-15</v>
      </c>
      <c r="K411" s="9" t="s">
        <v>20</v>
      </c>
      <c r="L411" s="5">
        <v>88.82</v>
      </c>
      <c r="M411" s="1" t="d">
        <v>2024-06-28</v>
      </c>
      <c r="N411" s="6" t="s">
        <v>16</v>
      </c>
      <c r="O411" s="9" t="s">
        <v>1544</v>
      </c>
    </row>
    <row r="412" spans="1:15" ht="24" x14ac:dyDescent="0.15">
      <c r="A412" s="1" t="d">
        <v>2023-11-16</v>
      </c>
      <c r="B412" s="3" t="s">
        <v>1545</v>
      </c>
      <c r="C412" s="3" t="s">
        <v>16</v>
      </c>
      <c r="D412" s="4" t="s">
        <v>17</v>
      </c>
      <c r="E412" s="4" t="s">
        <v>18</v>
      </c>
      <c r="F412" s="5">
        <v>45.45</v>
      </c>
      <c r="G412" s="3" t="s">
        <v>1546</v>
      </c>
      <c r="H412" s="3" t="s">
        <v>16</v>
      </c>
      <c r="I412" s="4" t="s">
        <v>1547</v>
      </c>
      <c r="J412" s="1" t="d">
        <v>2023-11-16</v>
      </c>
      <c r="K412" s="9" t="s">
        <v>20</v>
      </c>
      <c r="L412" s="5">
        <v>88.69</v>
      </c>
      <c r="M412" s="1" t="d">
        <v>2024-02-07</v>
      </c>
      <c r="N412" s="6" t="s">
        <v>16</v>
      </c>
      <c r="O412" s="9" t="s">
        <v>183</v>
      </c>
    </row>
    <row r="413" spans="1:15" ht="24" x14ac:dyDescent="0.15">
      <c r="A413" s="1" t="d">
        <v>2021-10-22</v>
      </c>
      <c r="B413" s="3" t="s">
        <v>1548</v>
      </c>
      <c r="C413" s="3" t="s">
        <v>16</v>
      </c>
      <c r="D413" s="4" t="s">
        <v>17</v>
      </c>
      <c r="E413" s="4" t="s">
        <v>18</v>
      </c>
      <c r="F413" s="5">
        <v>289.51</v>
      </c>
      <c r="G413" s="3" t="s">
        <v>1213</v>
      </c>
      <c r="H413" s="3" t="s">
        <v>1549</v>
      </c>
      <c r="I413" s="4" t="s">
        <v>1550</v>
      </c>
      <c r="J413" s="1" t="d">
        <v>2021-10-22</v>
      </c>
      <c r="K413" s="9" t="s">
        <v>20</v>
      </c>
      <c r="L413" s="5">
        <v>88.56</v>
      </c>
      <c r="M413" s="1" t="d">
        <v>2022-03-04</v>
      </c>
      <c r="N413" s="6" t="s">
        <v>16</v>
      </c>
      <c r="O413" s="9" t="s">
        <v>110</v>
      </c>
    </row>
    <row r="414" spans="1:15" ht="12" x14ac:dyDescent="0.15">
      <c r="A414" s="1" t="d">
        <v>2022-03-24</v>
      </c>
      <c r="B414" s="3" t="s">
        <v>1551</v>
      </c>
      <c r="C414" s="3" t="s">
        <v>1552</v>
      </c>
      <c r="D414" s="4" t="s">
        <v>17</v>
      </c>
      <c r="E414" s="4" t="s">
        <v>18</v>
      </c>
      <c r="F414" s="6" t="s">
        <v>16</v>
      </c>
      <c r="G414" s="3" t="s">
        <v>16</v>
      </c>
      <c r="H414" s="3" t="s">
        <v>16</v>
      </c>
      <c r="I414" s="4" t="s">
        <v>1553</v>
      </c>
      <c r="J414" s="1" t="d">
        <v>2022-03-24</v>
      </c>
      <c r="K414" s="9" t="s">
        <v>20</v>
      </c>
      <c r="L414" s="5">
        <v>88.47</v>
      </c>
      <c r="M414" s="1" t="d">
        <v>2022-03-24</v>
      </c>
      <c r="N414" s="5">
        <v>-6.13</v>
      </c>
      <c r="O414" s="9" t="s">
        <v>633</v>
      </c>
    </row>
    <row r="415" spans="1:15" ht="48" x14ac:dyDescent="0.15">
      <c r="A415" s="1" t="d">
        <v>2025-02-05</v>
      </c>
      <c r="B415" s="3" t="s">
        <v>1554</v>
      </c>
      <c r="C415" s="3" t="s">
        <v>16</v>
      </c>
      <c r="D415" s="4" t="s">
        <v>17</v>
      </c>
      <c r="E415" s="4" t="s">
        <v>18</v>
      </c>
      <c r="F415" s="5">
        <v>139.46</v>
      </c>
      <c r="G415" s="3" t="s">
        <v>1555</v>
      </c>
      <c r="H415" s="3" t="s">
        <v>1556</v>
      </c>
      <c r="I415" s="4" t="s">
        <v>1557</v>
      </c>
      <c r="J415" s="1" t="d">
        <v>2025-02-05</v>
      </c>
      <c r="K415" s="9" t="s">
        <v>20</v>
      </c>
      <c r="L415" s="5">
        <v>88.23</v>
      </c>
      <c r="M415" s="1" t="d">
        <v>2025-03-21</v>
      </c>
      <c r="N415" s="10">
        <v>12.2</v>
      </c>
      <c r="O415" s="9" t="s">
        <v>1558</v>
      </c>
    </row>
    <row r="416" spans="1:15" ht="12" x14ac:dyDescent="0.15">
      <c r="A416" s="1" t="d">
        <v>2025-02-14</v>
      </c>
      <c r="B416" s="3" t="s">
        <v>1559</v>
      </c>
      <c r="C416" s="3" t="s">
        <v>1560</v>
      </c>
      <c r="D416" s="4" t="s">
        <v>17</v>
      </c>
      <c r="E416" s="4" t="s">
        <v>18</v>
      </c>
      <c r="F416" s="5">
        <v>5.21</v>
      </c>
      <c r="G416" s="3" t="s">
        <v>1561</v>
      </c>
      <c r="H416" s="3" t="s">
        <v>1562</v>
      </c>
      <c r="I416" s="4" t="s">
        <v>1563</v>
      </c>
      <c r="J416" s="1" t="d">
        <v>2025-02-14</v>
      </c>
      <c r="K416" s="9" t="s">
        <v>20</v>
      </c>
      <c r="L416" s="5">
        <v>88.1</v>
      </c>
      <c r="M416" s="1" t="d">
        <v>2025-03-21</v>
      </c>
      <c r="N416" s="5">
        <v>-3.38</v>
      </c>
      <c r="O416" s="9" t="s">
        <v>50</v>
      </c>
    </row>
    <row r="417" spans="1:15" ht="24" x14ac:dyDescent="0.15">
      <c r="A417" s="1" t="d">
        <v>2022-04-01</v>
      </c>
      <c r="B417" s="3" t="s">
        <v>1564</v>
      </c>
      <c r="C417" s="3" t="s">
        <v>16</v>
      </c>
      <c r="D417" s="4" t="s">
        <v>17</v>
      </c>
      <c r="E417" s="4" t="s">
        <v>18</v>
      </c>
      <c r="F417" s="5">
        <v>64</v>
      </c>
      <c r="G417" s="3" t="s">
        <v>145</v>
      </c>
      <c r="H417" s="3" t="s">
        <v>16</v>
      </c>
      <c r="I417" s="4" t="s">
        <v>1565</v>
      </c>
      <c r="J417" s="1" t="d">
        <v>2022-04-01</v>
      </c>
      <c r="K417" s="9" t="s">
        <v>20</v>
      </c>
      <c r="L417" s="5">
        <v>88.07</v>
      </c>
      <c r="M417" s="1" t="d">
        <v>2022-04-01</v>
      </c>
      <c r="N417" s="6" t="s">
        <v>16</v>
      </c>
      <c r="O417" s="9" t="s">
        <v>1395</v>
      </c>
    </row>
    <row r="418" spans="1:15" ht="12" x14ac:dyDescent="0.15">
      <c r="A418" s="1" t="d">
        <v>2021-12-06</v>
      </c>
      <c r="B418" s="3" t="s">
        <v>1566</v>
      </c>
      <c r="C418" s="3" t="s">
        <v>16</v>
      </c>
      <c r="D418" s="4" t="s">
        <v>17</v>
      </c>
      <c r="E418" s="4" t="s">
        <v>18</v>
      </c>
      <c r="F418" s="5">
        <v>35</v>
      </c>
      <c r="G418" s="3" t="s">
        <v>1567</v>
      </c>
      <c r="H418" s="3" t="s">
        <v>1568</v>
      </c>
      <c r="I418" s="4" t="s">
        <v>1569</v>
      </c>
      <c r="J418" s="1" t="d">
        <v>2021-12-06</v>
      </c>
      <c r="K418" s="9" t="s">
        <v>20</v>
      </c>
      <c r="L418" s="5">
        <v>88</v>
      </c>
      <c r="M418" s="1" t="d">
        <v>2021-12-03</v>
      </c>
      <c r="N418" s="6" t="s">
        <v>16</v>
      </c>
      <c r="O418" s="9" t="s">
        <v>40</v>
      </c>
    </row>
    <row r="419" spans="1:15" ht="12" x14ac:dyDescent="0.15">
      <c r="A419" s="1" t="d">
        <v>2024-10-03</v>
      </c>
      <c r="B419" s="3" t="s">
        <v>1570</v>
      </c>
      <c r="C419" s="3" t="s">
        <v>16</v>
      </c>
      <c r="D419" s="4" t="s">
        <v>17</v>
      </c>
      <c r="E419" s="4" t="s">
        <v>18</v>
      </c>
      <c r="F419" s="5">
        <v>364.51</v>
      </c>
      <c r="G419" s="3" t="s">
        <v>1571</v>
      </c>
      <c r="H419" s="3" t="s">
        <v>1572</v>
      </c>
      <c r="I419" s="4" t="s">
        <v>1573</v>
      </c>
      <c r="J419" s="1" t="d">
        <v>2024-10-03</v>
      </c>
      <c r="K419" s="9" t="s">
        <v>20</v>
      </c>
      <c r="L419" s="5">
        <v>87.89</v>
      </c>
      <c r="M419" s="1" t="d">
        <v>2025-04-01</v>
      </c>
      <c r="N419" s="6" t="s">
        <v>16</v>
      </c>
      <c r="O419" s="9" t="s">
        <v>110</v>
      </c>
    </row>
    <row r="420" spans="1:15" ht="12" x14ac:dyDescent="0.15">
      <c r="A420" s="1" t="d">
        <v>2023-06-12</v>
      </c>
      <c r="B420" s="3" t="s">
        <v>1574</v>
      </c>
      <c r="C420" s="3" t="s">
        <v>16</v>
      </c>
      <c r="D420" s="4" t="s">
        <v>17</v>
      </c>
      <c r="E420" s="4" t="s">
        <v>18</v>
      </c>
      <c r="F420" s="5">
        <v>158.97</v>
      </c>
      <c r="G420" s="3" t="s">
        <v>1575</v>
      </c>
      <c r="H420" s="3" t="s">
        <v>16</v>
      </c>
      <c r="I420" s="4" t="s">
        <v>1576</v>
      </c>
      <c r="J420" s="1" t="d">
        <v>2023-06-12</v>
      </c>
      <c r="K420" s="9" t="s">
        <v>20</v>
      </c>
      <c r="L420" s="5">
        <v>87.87</v>
      </c>
      <c r="M420" s="1" t="d">
        <v>2023-09-25</v>
      </c>
      <c r="N420" s="6" t="s">
        <v>16</v>
      </c>
      <c r="O420" s="9" t="s">
        <v>40</v>
      </c>
    </row>
    <row r="421" spans="1:15" ht="12" x14ac:dyDescent="0.15">
      <c r="A421" s="1" t="d">
        <v>2026-02-02</v>
      </c>
      <c r="B421" s="3" t="s">
        <v>1577</v>
      </c>
      <c r="C421" s="3" t="s">
        <v>16</v>
      </c>
      <c r="D421" s="4" t="s">
        <v>17</v>
      </c>
      <c r="E421" s="4" t="s">
        <v>18</v>
      </c>
      <c r="F421" s="5">
        <v>719.62</v>
      </c>
      <c r="G421" s="3" t="s">
        <v>1578</v>
      </c>
      <c r="H421" s="3" t="s">
        <v>16</v>
      </c>
      <c r="I421" s="4" t="s">
        <v>1579</v>
      </c>
      <c r="J421" s="1" t="d">
        <v>2026-02-02</v>
      </c>
      <c r="K421" s="9" t="s">
        <v>20</v>
      </c>
      <c r="L421" s="5">
        <v>87.66</v>
      </c>
      <c r="M421" s="1" t="d">
        <v>2026-07-17</v>
      </c>
      <c r="N421" s="5">
        <v>-3.27</v>
      </c>
      <c r="O421" s="9" t="s">
        <v>393</v>
      </c>
    </row>
    <row r="422" spans="1:15" ht="48" x14ac:dyDescent="0.15">
      <c r="A422" s="1" t="d">
        <v>2024-07-22</v>
      </c>
      <c r="B422" s="3" t="s">
        <v>1580</v>
      </c>
      <c r="C422" s="3" t="s">
        <v>16</v>
      </c>
      <c r="D422" s="4" t="s">
        <v>17</v>
      </c>
      <c r="E422" s="4" t="s">
        <v>18</v>
      </c>
      <c r="F422" s="5">
        <v>57.76</v>
      </c>
      <c r="G422" s="3" t="s">
        <v>1581</v>
      </c>
      <c r="H422" s="3" t="s">
        <v>16</v>
      </c>
      <c r="I422" s="4" t="s">
        <v>1582</v>
      </c>
      <c r="J422" s="1" t="d">
        <v>2024-07-22</v>
      </c>
      <c r="K422" s="9" t="s">
        <v>20</v>
      </c>
      <c r="L422" s="5">
        <v>86.79</v>
      </c>
      <c r="M422" s="1" t="d">
        <v>2024-10-03</v>
      </c>
      <c r="N422" s="5">
        <v>7.7</v>
      </c>
      <c r="O422" s="9" t="s">
        <v>1583</v>
      </c>
    </row>
    <row r="423" spans="1:15" ht="36" x14ac:dyDescent="0.15">
      <c r="A423" s="1" t="d">
        <v>2022-05-25</v>
      </c>
      <c r="B423" s="3" t="s">
        <v>1584</v>
      </c>
      <c r="C423" s="3" t="s">
        <v>16</v>
      </c>
      <c r="D423" s="4" t="s">
        <v>17</v>
      </c>
      <c r="E423" s="4" t="s">
        <v>18</v>
      </c>
      <c r="F423" s="5">
        <v>489.89</v>
      </c>
      <c r="G423" s="3" t="s">
        <v>403</v>
      </c>
      <c r="H423" s="3" t="s">
        <v>1585</v>
      </c>
      <c r="I423" s="4" t="s">
        <v>1586</v>
      </c>
      <c r="J423" s="1" t="d">
        <v>2022-05-25</v>
      </c>
      <c r="K423" s="9" t="s">
        <v>20</v>
      </c>
      <c r="L423" s="5">
        <v>86.75</v>
      </c>
      <c r="M423" s="1" t="d">
        <v>2022-08-03</v>
      </c>
      <c r="N423" s="6" t="s">
        <v>16</v>
      </c>
      <c r="O423" s="9" t="s">
        <v>157</v>
      </c>
    </row>
    <row r="424" spans="1:15" ht="24" x14ac:dyDescent="0.15">
      <c r="A424" s="1" t="d">
        <v>2023-07-04</v>
      </c>
      <c r="B424" s="3" t="s">
        <v>1274</v>
      </c>
      <c r="C424" s="3" t="s">
        <v>1275</v>
      </c>
      <c r="D424" s="4" t="s">
        <v>17</v>
      </c>
      <c r="E424" s="4" t="s">
        <v>18</v>
      </c>
      <c r="F424" s="5">
        <v>37.39</v>
      </c>
      <c r="G424" s="3" t="s">
        <v>1587</v>
      </c>
      <c r="H424" s="3" t="s">
        <v>16</v>
      </c>
      <c r="I424" s="4" t="s">
        <v>1588</v>
      </c>
      <c r="J424" s="1" t="d">
        <v>2023-07-04</v>
      </c>
      <c r="K424" s="9" t="s">
        <v>20</v>
      </c>
      <c r="L424" s="5">
        <v>86.14</v>
      </c>
      <c r="M424" s="1" t="d">
        <v>2023-07-14</v>
      </c>
      <c r="N424" s="10">
        <v>-38.4</v>
      </c>
      <c r="O424" s="9" t="s">
        <v>65</v>
      </c>
    </row>
    <row r="425" spans="1:15" ht="24" x14ac:dyDescent="0.15">
      <c r="A425" s="1" t="d">
        <v>2024-08-21</v>
      </c>
      <c r="B425" s="3" t="s">
        <v>1589</v>
      </c>
      <c r="C425" s="3" t="s">
        <v>16</v>
      </c>
      <c r="D425" s="4" t="s">
        <v>17</v>
      </c>
      <c r="E425" s="4" t="s">
        <v>18</v>
      </c>
      <c r="F425" s="5">
        <v>219.84</v>
      </c>
      <c r="G425" s="3" t="s">
        <v>1590</v>
      </c>
      <c r="H425" s="3" t="s">
        <v>1591</v>
      </c>
      <c r="I425" s="4" t="s">
        <v>1592</v>
      </c>
      <c r="J425" s="1" t="d">
        <v>2024-08-21</v>
      </c>
      <c r="K425" s="9" t="s">
        <v>20</v>
      </c>
      <c r="L425" s="5">
        <v>86.09</v>
      </c>
      <c r="M425" s="1" t="d">
        <v>2025-03-17</v>
      </c>
      <c r="N425" s="6" t="s">
        <v>16</v>
      </c>
      <c r="O425" s="9" t="s">
        <v>212</v>
      </c>
    </row>
    <row r="426" spans="1:15" ht="12" x14ac:dyDescent="0.15">
      <c r="A426" s="1" t="d">
        <v>2024-10-29</v>
      </c>
      <c r="B426" s="3" t="s">
        <v>1593</v>
      </c>
      <c r="C426" s="3" t="s">
        <v>16</v>
      </c>
      <c r="D426" s="4" t="s">
        <v>17</v>
      </c>
      <c r="E426" s="4" t="s">
        <v>18</v>
      </c>
      <c r="F426" s="5">
        <v>77.03</v>
      </c>
      <c r="G426" s="3" t="s">
        <v>1594</v>
      </c>
      <c r="H426" s="3" t="s">
        <v>16</v>
      </c>
      <c r="I426" s="4" t="s">
        <v>1595</v>
      </c>
      <c r="J426" s="1" t="d">
        <v>2024-10-29</v>
      </c>
      <c r="K426" s="9" t="s">
        <v>20</v>
      </c>
      <c r="L426" s="5">
        <v>85</v>
      </c>
      <c r="M426" s="1" t="d">
        <v>2024-10-31</v>
      </c>
      <c r="N426" s="6" t="s">
        <v>16</v>
      </c>
      <c r="O426" s="9" t="s">
        <v>40</v>
      </c>
    </row>
    <row r="427" spans="1:15" ht="24" x14ac:dyDescent="0.15">
      <c r="A427" s="1" t="d">
        <v>2022-09-30</v>
      </c>
      <c r="B427" s="3" t="s">
        <v>1596</v>
      </c>
      <c r="C427" s="3" t="s">
        <v>16</v>
      </c>
      <c r="D427" s="4" t="s">
        <v>17</v>
      </c>
      <c r="E427" s="4" t="s">
        <v>18</v>
      </c>
      <c r="F427" s="5">
        <v>44.39</v>
      </c>
      <c r="G427" s="3" t="s">
        <v>1597</v>
      </c>
      <c r="H427" s="3" t="s">
        <v>1598</v>
      </c>
      <c r="I427" s="4" t="s">
        <v>1599</v>
      </c>
      <c r="J427" s="1" t="d">
        <v>2022-09-30</v>
      </c>
      <c r="K427" s="9" t="s">
        <v>20</v>
      </c>
      <c r="L427" s="5">
        <v>84.63</v>
      </c>
      <c r="M427" s="1" t="d">
        <v>2022-09-30</v>
      </c>
      <c r="N427" s="10">
        <v>20.7</v>
      </c>
      <c r="O427" s="9" t="s">
        <v>869</v>
      </c>
    </row>
    <row r="428" spans="1:15" ht="24" x14ac:dyDescent="0.15">
      <c r="A428" s="1" t="d">
        <v>2026-01-19</v>
      </c>
      <c r="B428" s="3" t="s">
        <v>1600</v>
      </c>
      <c r="C428" s="3" t="s">
        <v>1601</v>
      </c>
      <c r="D428" s="4" t="s">
        <v>17</v>
      </c>
      <c r="E428" s="4" t="s">
        <v>18</v>
      </c>
      <c r="F428" s="5">
        <v>51.7</v>
      </c>
      <c r="G428" s="3" t="s">
        <v>1602</v>
      </c>
      <c r="H428" s="3" t="s">
        <v>16</v>
      </c>
      <c r="I428" s="4" t="s">
        <v>1603</v>
      </c>
      <c r="J428" s="1" t="d">
        <v>2026-01-19</v>
      </c>
      <c r="K428" s="9" t="s">
        <v>20</v>
      </c>
      <c r="L428" s="5">
        <v>84.32</v>
      </c>
      <c r="M428" s="1" t="d">
        <v>2026-03-11</v>
      </c>
      <c r="N428" s="5">
        <v>-6.93</v>
      </c>
      <c r="O428" s="9" t="s">
        <v>50</v>
      </c>
    </row>
    <row r="429" spans="1:15" ht="12" x14ac:dyDescent="0.15">
      <c r="A429" s="1" t="d">
        <v>2022-06-28</v>
      </c>
      <c r="B429" s="3" t="s">
        <v>1604</v>
      </c>
      <c r="C429" s="3" t="s">
        <v>16</v>
      </c>
      <c r="D429" s="4" t="s">
        <v>17</v>
      </c>
      <c r="E429" s="4" t="s">
        <v>18</v>
      </c>
      <c r="F429" s="6" t="s">
        <v>16</v>
      </c>
      <c r="G429" s="3" t="s">
        <v>1605</v>
      </c>
      <c r="H429" s="3" t="s">
        <v>16</v>
      </c>
      <c r="I429" s="4" t="s">
        <v>1606</v>
      </c>
      <c r="J429" s="1" t="d">
        <v>2022-06-28</v>
      </c>
      <c r="K429" s="9" t="s">
        <v>20</v>
      </c>
      <c r="L429" s="5">
        <v>84.2</v>
      </c>
      <c r="M429" s="1" t="d">
        <v>2022-06-28</v>
      </c>
      <c r="N429" s="5">
        <v>4.82</v>
      </c>
      <c r="O429" s="9" t="s">
        <v>633</v>
      </c>
    </row>
    <row r="430" spans="1:15" ht="12" x14ac:dyDescent="0.15">
      <c r="A430" s="1" t="d">
        <v>2023-08-02</v>
      </c>
      <c r="B430" s="3" t="s">
        <v>1607</v>
      </c>
      <c r="C430" s="3" t="s">
        <v>1608</v>
      </c>
      <c r="D430" s="4" t="s">
        <v>17</v>
      </c>
      <c r="E430" s="4" t="s">
        <v>18</v>
      </c>
      <c r="F430" s="5">
        <v>90.34</v>
      </c>
      <c r="G430" s="3" t="s">
        <v>1609</v>
      </c>
      <c r="H430" s="3" t="s">
        <v>16</v>
      </c>
      <c r="I430" s="4" t="s">
        <v>1610</v>
      </c>
      <c r="J430" s="1" t="d">
        <v>2023-08-02</v>
      </c>
      <c r="K430" s="9" t="s">
        <v>20</v>
      </c>
      <c r="L430" s="5">
        <v>83.93</v>
      </c>
      <c r="M430" s="1" t="d">
        <v>2023-10-02</v>
      </c>
      <c r="N430" s="5">
        <v>8.4</v>
      </c>
      <c r="O430" s="9" t="s">
        <v>1611</v>
      </c>
    </row>
    <row r="431" spans="1:15" ht="12" x14ac:dyDescent="0.15">
      <c r="A431" s="1" t="d">
        <v>2023-10-11</v>
      </c>
      <c r="B431" s="3" t="s">
        <v>1612</v>
      </c>
      <c r="C431" s="3" t="s">
        <v>16</v>
      </c>
      <c r="D431" s="4" t="s">
        <v>17</v>
      </c>
      <c r="E431" s="4" t="s">
        <v>18</v>
      </c>
      <c r="F431" s="5">
        <v>171.49</v>
      </c>
      <c r="G431" s="3" t="s">
        <v>1613</v>
      </c>
      <c r="H431" s="3" t="s">
        <v>1614</v>
      </c>
      <c r="I431" s="4" t="s">
        <v>1615</v>
      </c>
      <c r="J431" s="1" t="d">
        <v>2023-10-11</v>
      </c>
      <c r="K431" s="9" t="s">
        <v>20</v>
      </c>
      <c r="L431" s="5">
        <v>83.34</v>
      </c>
      <c r="M431" s="1" t="d">
        <v>2023-11-17</v>
      </c>
      <c r="N431" s="6" t="s">
        <v>16</v>
      </c>
      <c r="O431" s="9" t="s">
        <v>40</v>
      </c>
    </row>
    <row r="432" spans="1:15" ht="12" x14ac:dyDescent="0.15">
      <c r="A432" s="1" t="d">
        <v>2025-06-13</v>
      </c>
      <c r="B432" s="3" t="s">
        <v>1616</v>
      </c>
      <c r="C432" s="3" t="s">
        <v>16</v>
      </c>
      <c r="D432" s="4" t="s">
        <v>17</v>
      </c>
      <c r="E432" s="4" t="s">
        <v>18</v>
      </c>
      <c r="F432" s="5">
        <v>93.46</v>
      </c>
      <c r="G432" s="3" t="s">
        <v>1617</v>
      </c>
      <c r="H432" s="3" t="s">
        <v>16</v>
      </c>
      <c r="I432" s="4" t="s">
        <v>1618</v>
      </c>
      <c r="J432" s="1" t="d">
        <v>2025-06-13</v>
      </c>
      <c r="K432" s="9" t="s">
        <v>20</v>
      </c>
      <c r="L432" s="5">
        <v>83.1</v>
      </c>
      <c r="M432" s="1" t="d">
        <v>2025-12-10</v>
      </c>
      <c r="N432" s="6" t="s">
        <v>16</v>
      </c>
      <c r="O432" s="9" t="s">
        <v>393</v>
      </c>
    </row>
    <row r="433" spans="1:15" ht="24" x14ac:dyDescent="0.15">
      <c r="A433" s="1" t="d">
        <v>2022-09-13</v>
      </c>
      <c r="B433" s="3" t="s">
        <v>1619</v>
      </c>
      <c r="C433" s="3" t="s">
        <v>1620</v>
      </c>
      <c r="D433" s="4" t="s">
        <v>17</v>
      </c>
      <c r="E433" s="4" t="s">
        <v>18</v>
      </c>
      <c r="F433" s="5">
        <v>17.100000000000001</v>
      </c>
      <c r="G433" s="3" t="s">
        <v>1621</v>
      </c>
      <c r="H433" s="3" t="s">
        <v>1622</v>
      </c>
      <c r="I433" s="4" t="s">
        <v>1623</v>
      </c>
      <c r="J433" s="1" t="d">
        <v>2022-09-13</v>
      </c>
      <c r="K433" s="9" t="s">
        <v>20</v>
      </c>
      <c r="L433" s="5">
        <v>82.92</v>
      </c>
      <c r="M433" s="1" t="d">
        <v>2022-09-28</v>
      </c>
      <c r="N433" s="5">
        <v>-3.77</v>
      </c>
      <c r="O433" s="9" t="s">
        <v>340</v>
      </c>
    </row>
    <row r="434" spans="1:15" ht="12" x14ac:dyDescent="0.15">
      <c r="A434" s="1" t="d">
        <v>2026-03-23</v>
      </c>
      <c r="B434" s="3" t="s">
        <v>1624</v>
      </c>
      <c r="C434" s="3" t="s">
        <v>16</v>
      </c>
      <c r="D434" s="4" t="s">
        <v>17</v>
      </c>
      <c r="E434" s="4" t="s">
        <v>18</v>
      </c>
      <c r="F434" s="5">
        <v>50.91</v>
      </c>
      <c r="G434" s="3" t="s">
        <v>1625</v>
      </c>
      <c r="H434" s="3" t="s">
        <v>1626</v>
      </c>
      <c r="I434" s="4" t="s">
        <v>1627</v>
      </c>
      <c r="J434" s="1" t="d">
        <v>2026-03-23</v>
      </c>
      <c r="K434" s="9" t="s">
        <v>20</v>
      </c>
      <c r="L434" s="5">
        <v>82.88</v>
      </c>
      <c r="M434" s="1" t="d">
        <v>2026-05-08</v>
      </c>
      <c r="N434" s="5">
        <v>2.95</v>
      </c>
      <c r="O434" s="9" t="s">
        <v>110</v>
      </c>
    </row>
    <row r="435" spans="1:15" ht="24" x14ac:dyDescent="0.15">
      <c r="A435" s="1" t="d">
        <v>2023-02-22</v>
      </c>
      <c r="B435" s="3" t="s">
        <v>1628</v>
      </c>
      <c r="C435" s="3" t="s">
        <v>16</v>
      </c>
      <c r="D435" s="4" t="s">
        <v>17</v>
      </c>
      <c r="E435" s="4" t="s">
        <v>18</v>
      </c>
      <c r="F435" s="6" t="s">
        <v>16</v>
      </c>
      <c r="G435" s="3" t="s">
        <v>1629</v>
      </c>
      <c r="H435" s="3" t="s">
        <v>1630</v>
      </c>
      <c r="I435" s="4" t="s">
        <v>1631</v>
      </c>
      <c r="J435" s="1" t="d">
        <v>2023-02-22</v>
      </c>
      <c r="K435" s="9" t="s">
        <v>20</v>
      </c>
      <c r="L435" s="5">
        <v>81.61</v>
      </c>
      <c r="M435" s="1" t="d">
        <v>2023-04-01</v>
      </c>
      <c r="N435" s="6" t="s">
        <v>16</v>
      </c>
      <c r="O435" s="9" t="s">
        <v>1632</v>
      </c>
    </row>
    <row r="436" spans="1:15" ht="12" x14ac:dyDescent="0.15">
      <c r="A436" s="1" t="d">
        <v>2022-12-22</v>
      </c>
      <c r="B436" s="3" t="s">
        <v>1633</v>
      </c>
      <c r="C436" s="3" t="s">
        <v>16</v>
      </c>
      <c r="D436" s="4" t="s">
        <v>17</v>
      </c>
      <c r="E436" s="4" t="s">
        <v>18</v>
      </c>
      <c r="F436" s="5">
        <v>58.8</v>
      </c>
      <c r="G436" s="3" t="s">
        <v>1634</v>
      </c>
      <c r="H436" s="3" t="s">
        <v>824</v>
      </c>
      <c r="I436" s="4" t="s">
        <v>1635</v>
      </c>
      <c r="J436" s="1" t="d">
        <v>2022-12-22</v>
      </c>
      <c r="K436" s="9" t="s">
        <v>20</v>
      </c>
      <c r="L436" s="5">
        <v>81.599999999999994</v>
      </c>
      <c r="M436" s="1" t="d">
        <v>2023-05-01</v>
      </c>
      <c r="N436" s="6" t="s">
        <v>16</v>
      </c>
      <c r="O436" s="9" t="s">
        <v>101</v>
      </c>
    </row>
    <row r="437" spans="1:15" ht="12" x14ac:dyDescent="0.15">
      <c r="A437" s="1" t="d">
        <v>2022-02-18</v>
      </c>
      <c r="B437" s="3" t="s">
        <v>1636</v>
      </c>
      <c r="C437" s="3" t="s">
        <v>16</v>
      </c>
      <c r="D437" s="4" t="s">
        <v>17</v>
      </c>
      <c r="E437" s="4" t="s">
        <v>18</v>
      </c>
      <c r="F437" s="6" t="s">
        <v>16</v>
      </c>
      <c r="G437" s="3" t="s">
        <v>1637</v>
      </c>
      <c r="H437" s="3" t="s">
        <v>1638</v>
      </c>
      <c r="I437" s="4" t="s">
        <v>1639</v>
      </c>
      <c r="J437" s="1" t="d">
        <v>2022-02-18</v>
      </c>
      <c r="K437" s="9" t="s">
        <v>20</v>
      </c>
      <c r="L437" s="5">
        <v>81.599999999999994</v>
      </c>
      <c r="M437" s="1" t="d">
        <v>2022-02-18</v>
      </c>
      <c r="N437" s="7">
        <v>0.98599999999999999</v>
      </c>
      <c r="O437" s="9" t="s">
        <v>139</v>
      </c>
    </row>
    <row r="438" spans="1:15" ht="12" x14ac:dyDescent="0.15">
      <c r="A438" s="1" t="d">
        <v>2026-05-07</v>
      </c>
      <c r="B438" s="3" t="s">
        <v>1640</v>
      </c>
      <c r="C438" s="3" t="s">
        <v>16</v>
      </c>
      <c r="D438" s="4" t="s">
        <v>17</v>
      </c>
      <c r="E438" s="4" t="s">
        <v>18</v>
      </c>
      <c r="F438" s="6" t="s">
        <v>16</v>
      </c>
      <c r="G438" s="3" t="s">
        <v>1641</v>
      </c>
      <c r="H438" s="3" t="s">
        <v>16</v>
      </c>
      <c r="I438" s="4" t="s">
        <v>1642</v>
      </c>
      <c r="J438" s="1" t="d">
        <v>2026-05-07</v>
      </c>
      <c r="K438" s="9" t="s">
        <v>20</v>
      </c>
      <c r="L438" s="5">
        <v>81.209999999999994</v>
      </c>
      <c r="M438" s="1" t="d">
        <v>2026-05-06</v>
      </c>
      <c r="N438" s="6" t="s">
        <v>16</v>
      </c>
      <c r="O438" s="9" t="s">
        <v>139</v>
      </c>
    </row>
    <row r="439" spans="1:15" ht="12" x14ac:dyDescent="0.15">
      <c r="A439" s="1" t="d">
        <v>2021-12-15</v>
      </c>
      <c r="B439" s="3" t="s">
        <v>1643</v>
      </c>
      <c r="C439" s="3" t="s">
        <v>16</v>
      </c>
      <c r="D439" s="4" t="s">
        <v>17</v>
      </c>
      <c r="E439" s="4" t="s">
        <v>18</v>
      </c>
      <c r="F439" s="5">
        <v>538.64</v>
      </c>
      <c r="G439" s="3" t="s">
        <v>1644</v>
      </c>
      <c r="H439" s="3" t="s">
        <v>16</v>
      </c>
      <c r="I439" s="4" t="s">
        <v>1645</v>
      </c>
      <c r="J439" s="1" t="d">
        <v>2021-12-15</v>
      </c>
      <c r="K439" s="9" t="s">
        <v>20</v>
      </c>
      <c r="L439" s="5">
        <v>81.040000000000006</v>
      </c>
      <c r="M439" s="1" t="d">
        <v>2022-06-02</v>
      </c>
      <c r="N439" s="10">
        <v>36.200000000000003</v>
      </c>
      <c r="O439" s="9" t="s">
        <v>110</v>
      </c>
    </row>
    <row r="440" spans="1:15" ht="24" x14ac:dyDescent="0.15">
      <c r="A440" s="1" t="d">
        <v>2022-07-14</v>
      </c>
      <c r="B440" s="3" t="s">
        <v>1330</v>
      </c>
      <c r="C440" s="3" t="s">
        <v>1331</v>
      </c>
      <c r="D440" s="4" t="s">
        <v>17</v>
      </c>
      <c r="E440" s="4" t="s">
        <v>18</v>
      </c>
      <c r="F440" s="5">
        <v>14.99</v>
      </c>
      <c r="G440" s="3" t="s">
        <v>16</v>
      </c>
      <c r="H440" s="3" t="s">
        <v>1646</v>
      </c>
      <c r="I440" s="4" t="s">
        <v>1647</v>
      </c>
      <c r="J440" s="1" t="d">
        <v>2022-07-14</v>
      </c>
      <c r="K440" s="9" t="s">
        <v>20</v>
      </c>
      <c r="L440" s="5">
        <v>80.02</v>
      </c>
      <c r="M440" s="1" t="d">
        <v>2022-07-21</v>
      </c>
      <c r="N440" s="5">
        <v>3.97</v>
      </c>
      <c r="O440" s="9" t="s">
        <v>1292</v>
      </c>
    </row>
    <row r="441" spans="1:15" ht="12" x14ac:dyDescent="0.15">
      <c r="A441" s="1" t="d">
        <v>2026-02-02</v>
      </c>
      <c r="B441" s="3" t="s">
        <v>1648</v>
      </c>
      <c r="C441" s="3" t="s">
        <v>16</v>
      </c>
      <c r="D441" s="4" t="s">
        <v>17</v>
      </c>
      <c r="E441" s="4" t="s">
        <v>18</v>
      </c>
      <c r="F441" s="5">
        <v>150</v>
      </c>
      <c r="G441" s="3" t="s">
        <v>1649</v>
      </c>
      <c r="H441" s="3" t="s">
        <v>98</v>
      </c>
      <c r="I441" s="4" t="s">
        <v>1650</v>
      </c>
      <c r="J441" s="1" t="d">
        <v>2026-02-02</v>
      </c>
      <c r="K441" s="9" t="s">
        <v>20</v>
      </c>
      <c r="L441" s="5">
        <v>80</v>
      </c>
      <c r="M441" s="1" t="d">
        <v>2026-05-11</v>
      </c>
      <c r="N441" s="6" t="s">
        <v>16</v>
      </c>
      <c r="O441" s="9" t="s">
        <v>381</v>
      </c>
    </row>
    <row r="442" spans="1:15" ht="12" x14ac:dyDescent="0.15">
      <c r="A442" s="1" t="d">
        <v>2024-02-04</v>
      </c>
      <c r="B442" s="3" t="s">
        <v>1651</v>
      </c>
      <c r="C442" s="3" t="s">
        <v>16</v>
      </c>
      <c r="D442" s="4" t="s">
        <v>17</v>
      </c>
      <c r="E442" s="4" t="s">
        <v>18</v>
      </c>
      <c r="F442" s="6" t="s">
        <v>16</v>
      </c>
      <c r="G442" s="3" t="s">
        <v>1652</v>
      </c>
      <c r="H442" s="3" t="s">
        <v>16</v>
      </c>
      <c r="I442" s="4" t="s">
        <v>1653</v>
      </c>
      <c r="J442" s="1" t="d">
        <v>2024-02-04</v>
      </c>
      <c r="K442" s="9" t="s">
        <v>20</v>
      </c>
      <c r="L442" s="5">
        <v>80</v>
      </c>
      <c r="M442" s="1" t="d">
        <v>2024-02-04</v>
      </c>
      <c r="N442" s="6" t="s">
        <v>16</v>
      </c>
      <c r="O442" s="9" t="s">
        <v>139</v>
      </c>
    </row>
    <row r="443" spans="1:15" ht="12" x14ac:dyDescent="0.15">
      <c r="A443" s="1" t="d">
        <v>2022-08-15</v>
      </c>
      <c r="B443" s="3" t="s">
        <v>1654</v>
      </c>
      <c r="C443" s="3" t="s">
        <v>16</v>
      </c>
      <c r="D443" s="4" t="s">
        <v>17</v>
      </c>
      <c r="E443" s="4" t="s">
        <v>18</v>
      </c>
      <c r="F443" s="5">
        <v>279</v>
      </c>
      <c r="G443" s="3" t="s">
        <v>1655</v>
      </c>
      <c r="H443" s="3" t="s">
        <v>1656</v>
      </c>
      <c r="I443" s="4" t="s">
        <v>1657</v>
      </c>
      <c r="J443" s="1" t="d">
        <v>2022-08-15</v>
      </c>
      <c r="K443" s="9" t="s">
        <v>20</v>
      </c>
      <c r="L443" s="5">
        <v>80</v>
      </c>
      <c r="M443" s="1" t="d">
        <v>2022-11-01</v>
      </c>
      <c r="N443" s="6" t="s">
        <v>16</v>
      </c>
      <c r="O443" s="9" t="s">
        <v>381</v>
      </c>
    </row>
    <row r="444" spans="1:15" ht="12" x14ac:dyDescent="0.15">
      <c r="A444" s="1" t="d">
        <v>2021-11-08</v>
      </c>
      <c r="B444" s="3" t="s">
        <v>1658</v>
      </c>
      <c r="C444" s="3" t="s">
        <v>16</v>
      </c>
      <c r="D444" s="4" t="s">
        <v>17</v>
      </c>
      <c r="E444" s="4" t="s">
        <v>18</v>
      </c>
      <c r="F444" s="6" t="s">
        <v>16</v>
      </c>
      <c r="G444" s="3" t="s">
        <v>1641</v>
      </c>
      <c r="H444" s="3" t="s">
        <v>16</v>
      </c>
      <c r="I444" s="4" t="s">
        <v>1659</v>
      </c>
      <c r="J444" s="1" t="d">
        <v>2021-11-08</v>
      </c>
      <c r="K444" s="9" t="s">
        <v>20</v>
      </c>
      <c r="L444" s="5">
        <v>80</v>
      </c>
      <c r="M444" s="1" t="d">
        <v>2021-11-08</v>
      </c>
      <c r="N444" s="6" t="s">
        <v>16</v>
      </c>
      <c r="O444" s="9" t="s">
        <v>633</v>
      </c>
    </row>
    <row r="445" spans="1:15" ht="12" x14ac:dyDescent="0.15">
      <c r="A445" s="1" t="d">
        <v>2025-08-07</v>
      </c>
      <c r="B445" s="3" t="s">
        <v>1660</v>
      </c>
      <c r="C445" s="3" t="s">
        <v>16</v>
      </c>
      <c r="D445" s="4" t="s">
        <v>17</v>
      </c>
      <c r="E445" s="4" t="s">
        <v>18</v>
      </c>
      <c r="F445" s="5">
        <v>5.57</v>
      </c>
      <c r="G445" s="3" t="s">
        <v>1661</v>
      </c>
      <c r="H445" s="3" t="s">
        <v>16</v>
      </c>
      <c r="I445" s="4" t="s">
        <v>1662</v>
      </c>
      <c r="J445" s="1" t="d">
        <v>2025-08-07</v>
      </c>
      <c r="K445" s="9" t="s">
        <v>20</v>
      </c>
      <c r="L445" s="5">
        <v>79.650000000000006</v>
      </c>
      <c r="M445" s="1" t="d">
        <v>2025-10-06</v>
      </c>
      <c r="N445" s="6" t="s">
        <v>16</v>
      </c>
      <c r="O445" s="9" t="s">
        <v>1663</v>
      </c>
    </row>
    <row r="446" spans="1:15" ht="48" x14ac:dyDescent="0.15">
      <c r="A446" s="1" t="d">
        <v>2025-10-30</v>
      </c>
      <c r="B446" s="3" t="s">
        <v>1664</v>
      </c>
      <c r="C446" s="3" t="s">
        <v>16</v>
      </c>
      <c r="D446" s="4" t="s">
        <v>17</v>
      </c>
      <c r="E446" s="4" t="s">
        <v>18</v>
      </c>
      <c r="F446" s="5">
        <v>314.49</v>
      </c>
      <c r="G446" s="3" t="s">
        <v>896</v>
      </c>
      <c r="H446" s="3" t="s">
        <v>1665</v>
      </c>
      <c r="I446" s="4" t="s">
        <v>1666</v>
      </c>
      <c r="J446" s="1" t="d">
        <v>2025-10-30</v>
      </c>
      <c r="K446" s="9" t="s">
        <v>20</v>
      </c>
      <c r="L446" s="5">
        <v>79.55</v>
      </c>
      <c r="M446" s="1" t="d">
        <v>2025-12-15</v>
      </c>
      <c r="N446" s="5">
        <v>9.02</v>
      </c>
      <c r="O446" s="9" t="s">
        <v>192</v>
      </c>
    </row>
    <row r="447" spans="1:15" ht="24" x14ac:dyDescent="0.15">
      <c r="A447" s="1" t="d">
        <v>2026-05-30</v>
      </c>
      <c r="B447" s="3" t="s">
        <v>1667</v>
      </c>
      <c r="C447" s="3" t="s">
        <v>16</v>
      </c>
      <c r="D447" s="4" t="s">
        <v>17</v>
      </c>
      <c r="E447" s="4" t="s">
        <v>18</v>
      </c>
      <c r="F447" s="5">
        <v>218</v>
      </c>
      <c r="G447" s="3" t="s">
        <v>1668</v>
      </c>
      <c r="H447" s="3" t="s">
        <v>1669</v>
      </c>
      <c r="I447" s="4" t="s">
        <v>1670</v>
      </c>
      <c r="J447" s="1" t="d">
        <v>2026-05-30</v>
      </c>
      <c r="K447" s="9" t="s">
        <v>20</v>
      </c>
      <c r="L447" s="5">
        <v>79.099999999999994</v>
      </c>
      <c r="M447" s="1" t="d">
        <v>2026-09-04</v>
      </c>
      <c r="N447" s="6" t="s">
        <v>16</v>
      </c>
      <c r="O447" s="9" t="s">
        <v>1395</v>
      </c>
    </row>
    <row r="448" spans="1:15" ht="24" x14ac:dyDescent="0.15">
      <c r="A448" s="1" t="d">
        <v>2024-01-16</v>
      </c>
      <c r="B448" s="3" t="s">
        <v>1671</v>
      </c>
      <c r="C448" s="3" t="s">
        <v>16</v>
      </c>
      <c r="D448" s="4" t="s">
        <v>17</v>
      </c>
      <c r="E448" s="4" t="s">
        <v>18</v>
      </c>
      <c r="F448" s="6" t="s">
        <v>16</v>
      </c>
      <c r="G448" s="3" t="s">
        <v>1672</v>
      </c>
      <c r="H448" s="3" t="s">
        <v>1673</v>
      </c>
      <c r="I448" s="4" t="s">
        <v>1674</v>
      </c>
      <c r="J448" s="1" t="d">
        <v>2024-01-16</v>
      </c>
      <c r="K448" s="9" t="s">
        <v>20</v>
      </c>
      <c r="L448" s="5">
        <v>78.430000000000007</v>
      </c>
      <c r="M448" s="1" t="d">
        <v>2024-01-16</v>
      </c>
      <c r="N448" s="6" t="s">
        <v>16</v>
      </c>
      <c r="O448" s="9" t="s">
        <v>1675</v>
      </c>
    </row>
    <row r="449" spans="1:15" ht="24" x14ac:dyDescent="0.15">
      <c r="A449" s="1" t="d">
        <v>2023-08-30</v>
      </c>
      <c r="B449" s="3" t="s">
        <v>1676</v>
      </c>
      <c r="C449" s="3" t="s">
        <v>16</v>
      </c>
      <c r="D449" s="4" t="s">
        <v>17</v>
      </c>
      <c r="E449" s="4" t="s">
        <v>18</v>
      </c>
      <c r="F449" s="5">
        <v>245.24</v>
      </c>
      <c r="G449" s="3" t="s">
        <v>1677</v>
      </c>
      <c r="H449" s="3" t="s">
        <v>1678</v>
      </c>
      <c r="I449" s="4" t="s">
        <v>1679</v>
      </c>
      <c r="J449" s="1" t="d">
        <v>2023-08-30</v>
      </c>
      <c r="K449" s="9" t="s">
        <v>20</v>
      </c>
      <c r="L449" s="5">
        <v>78.319999999999993</v>
      </c>
      <c r="M449" s="1" t="d">
        <v>2023-11-20</v>
      </c>
      <c r="N449" s="10">
        <v>21.7</v>
      </c>
      <c r="O449" s="9" t="s">
        <v>299</v>
      </c>
    </row>
    <row r="450" spans="1:15" ht="24" x14ac:dyDescent="0.15">
      <c r="A450" s="1" t="d">
        <v>2024-06-11</v>
      </c>
      <c r="B450" s="3" t="s">
        <v>1680</v>
      </c>
      <c r="C450" s="3" t="s">
        <v>16</v>
      </c>
      <c r="D450" s="4" t="s">
        <v>17</v>
      </c>
      <c r="E450" s="4" t="s">
        <v>18</v>
      </c>
      <c r="F450" s="5">
        <v>115.05</v>
      </c>
      <c r="G450" s="3" t="s">
        <v>1681</v>
      </c>
      <c r="H450" s="3" t="s">
        <v>1682</v>
      </c>
      <c r="I450" s="4" t="s">
        <v>1683</v>
      </c>
      <c r="J450" s="1" t="d">
        <v>2024-06-11</v>
      </c>
      <c r="K450" s="9" t="s">
        <v>20</v>
      </c>
      <c r="L450" s="5">
        <v>77.86</v>
      </c>
      <c r="M450" s="1" t="d">
        <v>2025-04-23</v>
      </c>
      <c r="N450" s="5">
        <v>6.41</v>
      </c>
      <c r="O450" s="9" t="s">
        <v>299</v>
      </c>
    </row>
    <row r="451" spans="1:15" ht="12" x14ac:dyDescent="0.15">
      <c r="A451" s="1" t="d">
        <v>2025-06-04</v>
      </c>
      <c r="B451" s="3" t="s">
        <v>1684</v>
      </c>
      <c r="C451" s="3" t="s">
        <v>1685</v>
      </c>
      <c r="D451" s="4" t="s">
        <v>17</v>
      </c>
      <c r="E451" s="4" t="s">
        <v>18</v>
      </c>
      <c r="F451" s="6" t="s">
        <v>16</v>
      </c>
      <c r="G451" s="3" t="s">
        <v>1686</v>
      </c>
      <c r="H451" s="3" t="s">
        <v>16</v>
      </c>
      <c r="I451" s="4" t="s">
        <v>1687</v>
      </c>
      <c r="J451" s="1" t="d">
        <v>2025-06-04</v>
      </c>
      <c r="K451" s="9" t="s">
        <v>20</v>
      </c>
      <c r="L451" s="5">
        <v>77.48</v>
      </c>
      <c r="M451" s="1" t="d">
        <v>2025-06-04</v>
      </c>
      <c r="N451" s="10">
        <v>24.3</v>
      </c>
      <c r="O451" s="9" t="s">
        <v>119</v>
      </c>
    </row>
    <row r="452" spans="1:15" ht="24" x14ac:dyDescent="0.15">
      <c r="A452" s="1" t="d">
        <v>2022-07-26</v>
      </c>
      <c r="B452" s="3" t="s">
        <v>1688</v>
      </c>
      <c r="C452" s="3" t="s">
        <v>16</v>
      </c>
      <c r="D452" s="4" t="s">
        <v>17</v>
      </c>
      <c r="E452" s="4" t="s">
        <v>18</v>
      </c>
      <c r="F452" s="6" t="s">
        <v>16</v>
      </c>
      <c r="G452" s="3" t="s">
        <v>1689</v>
      </c>
      <c r="H452" s="3" t="s">
        <v>1690</v>
      </c>
      <c r="I452" s="4" t="s">
        <v>1691</v>
      </c>
      <c r="J452" s="1" t="d">
        <v>2022-07-26</v>
      </c>
      <c r="K452" s="9" t="s">
        <v>20</v>
      </c>
      <c r="L452" s="5">
        <v>76.959999999999994</v>
      </c>
      <c r="M452" s="1" t="d">
        <v>2022-09-05</v>
      </c>
      <c r="N452" s="6" t="s">
        <v>16</v>
      </c>
      <c r="O452" s="9" t="s">
        <v>1692</v>
      </c>
    </row>
    <row r="453" spans="1:15" ht="12" x14ac:dyDescent="0.15">
      <c r="A453" s="1" t="d">
        <v>2024-07-26</v>
      </c>
      <c r="B453" s="3" t="s">
        <v>1693</v>
      </c>
      <c r="C453" s="3" t="s">
        <v>16</v>
      </c>
      <c r="D453" s="4" t="s">
        <v>17</v>
      </c>
      <c r="E453" s="4" t="s">
        <v>18</v>
      </c>
      <c r="F453" s="6" t="s">
        <v>16</v>
      </c>
      <c r="G453" s="3" t="s">
        <v>1694</v>
      </c>
      <c r="H453" s="3" t="s">
        <v>16</v>
      </c>
      <c r="I453" s="4" t="s">
        <v>1695</v>
      </c>
      <c r="J453" s="1" t="d">
        <v>2024-07-26</v>
      </c>
      <c r="K453" s="9" t="s">
        <v>20</v>
      </c>
      <c r="L453" s="5">
        <v>76</v>
      </c>
      <c r="M453" s="1" t="d">
        <v>2024-07-26</v>
      </c>
      <c r="N453" s="6" t="s">
        <v>16</v>
      </c>
      <c r="O453" s="9" t="s">
        <v>139</v>
      </c>
    </row>
    <row r="454" spans="1:15" ht="12" x14ac:dyDescent="0.15">
      <c r="A454" s="1" t="d">
        <v>2023-04-28</v>
      </c>
      <c r="B454" s="3" t="s">
        <v>1696</v>
      </c>
      <c r="C454" s="3" t="s">
        <v>1697</v>
      </c>
      <c r="D454" s="4" t="s">
        <v>17</v>
      </c>
      <c r="E454" s="4" t="s">
        <v>18</v>
      </c>
      <c r="F454" s="5">
        <v>8.4</v>
      </c>
      <c r="G454" s="3" t="s">
        <v>16</v>
      </c>
      <c r="H454" s="3" t="s">
        <v>16</v>
      </c>
      <c r="I454" s="4" t="s">
        <v>1698</v>
      </c>
      <c r="J454" s="1" t="d">
        <v>2023-04-28</v>
      </c>
      <c r="K454" s="9" t="s">
        <v>20</v>
      </c>
      <c r="L454" s="5">
        <v>75.849999999999994</v>
      </c>
      <c r="M454" s="1" t="d">
        <v>2023-05-25</v>
      </c>
      <c r="N454" s="10">
        <v>-13.7</v>
      </c>
      <c r="O454" s="9" t="s">
        <v>831</v>
      </c>
    </row>
    <row r="455" spans="1:15" ht="12" x14ac:dyDescent="0.15">
      <c r="A455" s="1" t="d">
        <v>2023-10-12</v>
      </c>
      <c r="B455" s="3" t="s">
        <v>1699</v>
      </c>
      <c r="C455" s="3" t="s">
        <v>16</v>
      </c>
      <c r="D455" s="4" t="s">
        <v>17</v>
      </c>
      <c r="E455" s="4" t="s">
        <v>18</v>
      </c>
      <c r="F455" s="5">
        <v>132.5</v>
      </c>
      <c r="G455" s="3" t="s">
        <v>1700</v>
      </c>
      <c r="H455" s="3" t="s">
        <v>1701</v>
      </c>
      <c r="I455" s="4" t="s">
        <v>1702</v>
      </c>
      <c r="J455" s="1" t="d">
        <v>2023-10-12</v>
      </c>
      <c r="K455" s="9" t="s">
        <v>20</v>
      </c>
      <c r="L455" s="5">
        <v>75.8</v>
      </c>
      <c r="M455" s="1" t="d">
        <v>2023-10-12</v>
      </c>
      <c r="N455" s="6" t="s">
        <v>16</v>
      </c>
      <c r="O455" s="9" t="s">
        <v>40</v>
      </c>
    </row>
    <row r="456" spans="1:15" ht="12" x14ac:dyDescent="0.15">
      <c r="A456" s="1" t="d">
        <v>2024-11-07</v>
      </c>
      <c r="B456" s="3" t="s">
        <v>1703</v>
      </c>
      <c r="C456" s="3" t="s">
        <v>16</v>
      </c>
      <c r="D456" s="4" t="s">
        <v>17</v>
      </c>
      <c r="E456" s="4" t="s">
        <v>18</v>
      </c>
      <c r="F456" s="6" t="s">
        <v>16</v>
      </c>
      <c r="G456" s="3" t="s">
        <v>1704</v>
      </c>
      <c r="H456" s="3" t="s">
        <v>16</v>
      </c>
      <c r="I456" s="4" t="s">
        <v>1705</v>
      </c>
      <c r="J456" s="1" t="d">
        <v>2024-11-07</v>
      </c>
      <c r="K456" s="9" t="s">
        <v>20</v>
      </c>
      <c r="L456" s="5">
        <v>75.5</v>
      </c>
      <c r="M456" s="1" t="d">
        <v>2024-11-04</v>
      </c>
      <c r="N456" s="6" t="s">
        <v>16</v>
      </c>
      <c r="O456" s="9" t="s">
        <v>31</v>
      </c>
    </row>
    <row r="457" spans="1:15" ht="24" x14ac:dyDescent="0.15">
      <c r="A457" s="1" t="d">
        <v>2025-07-31</v>
      </c>
      <c r="B457" s="3" t="s">
        <v>1706</v>
      </c>
      <c r="C457" s="3" t="s">
        <v>16</v>
      </c>
      <c r="D457" s="4" t="s">
        <v>17</v>
      </c>
      <c r="E457" s="4" t="s">
        <v>18</v>
      </c>
      <c r="F457" s="6" t="s">
        <v>16</v>
      </c>
      <c r="G457" s="3" t="s">
        <v>1707</v>
      </c>
      <c r="H457" s="3" t="s">
        <v>1708</v>
      </c>
      <c r="I457" s="4" t="s">
        <v>1709</v>
      </c>
      <c r="J457" s="1" t="d">
        <v>2025-07-31</v>
      </c>
      <c r="K457" s="9" t="s">
        <v>20</v>
      </c>
      <c r="L457" s="5">
        <v>75.5</v>
      </c>
      <c r="M457" s="1" t="d">
        <v>2025-08-27</v>
      </c>
      <c r="N457" s="6" t="s">
        <v>16</v>
      </c>
      <c r="O457" s="9" t="s">
        <v>368</v>
      </c>
    </row>
    <row r="458" spans="1:15" ht="24" x14ac:dyDescent="0.15">
      <c r="A458" s="1" t="d">
        <v>2022-08-03</v>
      </c>
      <c r="B458" s="3" t="s">
        <v>1710</v>
      </c>
      <c r="C458" s="3" t="s">
        <v>16</v>
      </c>
      <c r="D458" s="4" t="s">
        <v>17</v>
      </c>
      <c r="E458" s="4" t="s">
        <v>18</v>
      </c>
      <c r="F458" s="6" t="s">
        <v>16</v>
      </c>
      <c r="G458" s="3" t="s">
        <v>1711</v>
      </c>
      <c r="H458" s="3" t="s">
        <v>1712</v>
      </c>
      <c r="I458" s="4" t="s">
        <v>1713</v>
      </c>
      <c r="J458" s="1" t="d">
        <v>2022-08-03</v>
      </c>
      <c r="K458" s="9" t="s">
        <v>20</v>
      </c>
      <c r="L458" s="5">
        <v>75</v>
      </c>
      <c r="M458" s="1" t="d">
        <v>2022-07-27</v>
      </c>
      <c r="N458" s="6" t="s">
        <v>16</v>
      </c>
      <c r="O458" s="9" t="s">
        <v>898</v>
      </c>
    </row>
    <row r="459" spans="1:15" ht="24" x14ac:dyDescent="0.15">
      <c r="A459" s="1" t="d">
        <v>2026-01-23</v>
      </c>
      <c r="B459" s="3" t="s">
        <v>1714</v>
      </c>
      <c r="C459" s="3" t="s">
        <v>16</v>
      </c>
      <c r="D459" s="4" t="s">
        <v>17</v>
      </c>
      <c r="E459" s="4" t="s">
        <v>18</v>
      </c>
      <c r="F459" s="5">
        <v>123.02</v>
      </c>
      <c r="G459" s="3" t="s">
        <v>1715</v>
      </c>
      <c r="H459" s="3" t="s">
        <v>16</v>
      </c>
      <c r="I459" s="4" t="s">
        <v>1716</v>
      </c>
      <c r="J459" s="1" t="d">
        <v>2026-01-23</v>
      </c>
      <c r="K459" s="9" t="s">
        <v>20</v>
      </c>
      <c r="L459" s="5">
        <v>74.97</v>
      </c>
      <c r="M459" s="1" t="d">
        <v>2026-03-10</v>
      </c>
      <c r="N459" s="10">
        <v>15.6</v>
      </c>
      <c r="O459" s="9" t="s">
        <v>1717</v>
      </c>
    </row>
    <row r="460" spans="1:15" ht="12" x14ac:dyDescent="0.15">
      <c r="A460" s="1" t="d">
        <v>2022-09-15</v>
      </c>
      <c r="B460" s="3" t="s">
        <v>1718</v>
      </c>
      <c r="C460" s="3" t="s">
        <v>16</v>
      </c>
      <c r="D460" s="4" t="s">
        <v>17</v>
      </c>
      <c r="E460" s="4" t="s">
        <v>18</v>
      </c>
      <c r="F460" s="6" t="s">
        <v>16</v>
      </c>
      <c r="G460" s="3" t="s">
        <v>1719</v>
      </c>
      <c r="H460" s="3" t="s">
        <v>1720</v>
      </c>
      <c r="I460" s="4" t="s">
        <v>1721</v>
      </c>
      <c r="J460" s="1" t="d">
        <v>2022-09-15</v>
      </c>
      <c r="K460" s="9" t="s">
        <v>20</v>
      </c>
      <c r="L460" s="5">
        <v>74.959999999999994</v>
      </c>
      <c r="M460" s="1" t="d">
        <v>2022-09-15</v>
      </c>
      <c r="N460" s="5">
        <v>3.9</v>
      </c>
      <c r="O460" s="9" t="s">
        <v>139</v>
      </c>
    </row>
    <row r="461" spans="1:15" ht="24" x14ac:dyDescent="0.15">
      <c r="A461" s="1" t="d">
        <v>2024-12-26</v>
      </c>
      <c r="B461" s="3" t="s">
        <v>1722</v>
      </c>
      <c r="C461" s="3" t="s">
        <v>16</v>
      </c>
      <c r="D461" s="4" t="s">
        <v>17</v>
      </c>
      <c r="E461" s="4" t="s">
        <v>18</v>
      </c>
      <c r="F461" s="5">
        <v>43.97</v>
      </c>
      <c r="G461" s="3" t="s">
        <v>1723</v>
      </c>
      <c r="H461" s="3" t="s">
        <v>16</v>
      </c>
      <c r="I461" s="4" t="s">
        <v>1724</v>
      </c>
      <c r="J461" s="1" t="d">
        <v>2024-12-26</v>
      </c>
      <c r="K461" s="9" t="s">
        <v>20</v>
      </c>
      <c r="L461" s="5">
        <v>74.930000000000007</v>
      </c>
      <c r="M461" s="1" t="d">
        <v>2025-04-01</v>
      </c>
      <c r="N461" s="5">
        <v>7.51</v>
      </c>
      <c r="O461" s="9" t="s">
        <v>1725</v>
      </c>
    </row>
    <row r="462" spans="1:15" ht="24" x14ac:dyDescent="0.15">
      <c r="A462" s="1" t="d">
        <v>2023-09-11</v>
      </c>
      <c r="B462" s="3" t="s">
        <v>1726</v>
      </c>
      <c r="C462" s="3" t="s">
        <v>16</v>
      </c>
      <c r="D462" s="4" t="s">
        <v>17</v>
      </c>
      <c r="E462" s="4" t="s">
        <v>18</v>
      </c>
      <c r="F462" s="5">
        <v>39.32</v>
      </c>
      <c r="G462" s="3" t="s">
        <v>1727</v>
      </c>
      <c r="H462" s="3" t="s">
        <v>1728</v>
      </c>
      <c r="I462" s="4" t="s">
        <v>1729</v>
      </c>
      <c r="J462" s="1" t="d">
        <v>2023-09-11</v>
      </c>
      <c r="K462" s="9" t="s">
        <v>20</v>
      </c>
      <c r="L462" s="5">
        <v>74.760000000000005</v>
      </c>
      <c r="M462" s="1" t="d">
        <v>2023-12-11</v>
      </c>
      <c r="N462" s="6" t="s">
        <v>16</v>
      </c>
      <c r="O462" s="9" t="s">
        <v>110</v>
      </c>
    </row>
    <row r="463" spans="1:15" ht="48" x14ac:dyDescent="0.15">
      <c r="A463" s="1" t="d">
        <v>2025-09-09</v>
      </c>
      <c r="B463" s="3" t="s">
        <v>1730</v>
      </c>
      <c r="C463" s="3" t="s">
        <v>16</v>
      </c>
      <c r="D463" s="4" t="s">
        <v>17</v>
      </c>
      <c r="E463" s="4" t="s">
        <v>18</v>
      </c>
      <c r="F463" s="5">
        <v>883</v>
      </c>
      <c r="G463" s="3" t="s">
        <v>1731</v>
      </c>
      <c r="H463" s="3" t="s">
        <v>1732</v>
      </c>
      <c r="I463" s="4" t="s">
        <v>1733</v>
      </c>
      <c r="J463" s="1" t="d">
        <v>2025-09-09</v>
      </c>
      <c r="K463" s="9" t="s">
        <v>20</v>
      </c>
      <c r="L463" s="5">
        <v>74.7</v>
      </c>
      <c r="M463" s="1" t="d">
        <v>2026-01-28</v>
      </c>
      <c r="N463" s="6" t="s">
        <v>16</v>
      </c>
      <c r="O463" s="9" t="s">
        <v>1734</v>
      </c>
    </row>
    <row r="464" spans="1:15" ht="60" x14ac:dyDescent="0.15">
      <c r="A464" s="1" t="d">
        <v>2023-11-16</v>
      </c>
      <c r="B464" s="3" t="s">
        <v>1735</v>
      </c>
      <c r="C464" s="3" t="s">
        <v>16</v>
      </c>
      <c r="D464" s="4" t="s">
        <v>17</v>
      </c>
      <c r="E464" s="4" t="s">
        <v>18</v>
      </c>
      <c r="F464" s="5">
        <v>434.01</v>
      </c>
      <c r="G464" s="3" t="s">
        <v>403</v>
      </c>
      <c r="H464" s="3" t="s">
        <v>16</v>
      </c>
      <c r="I464" s="4" t="s">
        <v>1736</v>
      </c>
      <c r="J464" s="1" t="d">
        <v>2023-11-16</v>
      </c>
      <c r="K464" s="9" t="s">
        <v>20</v>
      </c>
      <c r="L464" s="5">
        <v>73.930000000000007</v>
      </c>
      <c r="M464" s="1" t="d">
        <v>2024-02-02</v>
      </c>
      <c r="N464" s="6" t="s">
        <v>16</v>
      </c>
      <c r="O464" s="11" t="s">
        <v>1737</v>
      </c>
    </row>
    <row r="465" spans="1:15" ht="12" x14ac:dyDescent="0.15">
      <c r="A465" s="1" t="d">
        <v>2022-06-20</v>
      </c>
      <c r="B465" s="3" t="s">
        <v>1738</v>
      </c>
      <c r="C465" s="3" t="s">
        <v>16</v>
      </c>
      <c r="D465" s="4" t="s">
        <v>17</v>
      </c>
      <c r="E465" s="4" t="s">
        <v>18</v>
      </c>
      <c r="F465" s="6" t="s">
        <v>16</v>
      </c>
      <c r="G465" s="3" t="s">
        <v>1739</v>
      </c>
      <c r="H465" s="3" t="s">
        <v>16</v>
      </c>
      <c r="I465" s="4" t="s">
        <v>1740</v>
      </c>
      <c r="J465" s="1" t="d">
        <v>2022-06-20</v>
      </c>
      <c r="K465" s="9" t="s">
        <v>20</v>
      </c>
      <c r="L465" s="5">
        <v>73.72</v>
      </c>
      <c r="M465" s="1" t="d">
        <v>2022-06-20</v>
      </c>
      <c r="N465" s="6" t="s">
        <v>16</v>
      </c>
      <c r="O465" s="9" t="s">
        <v>139</v>
      </c>
    </row>
    <row r="466" spans="1:15" ht="24" x14ac:dyDescent="0.15">
      <c r="A466" s="1" t="d">
        <v>2021-10-21</v>
      </c>
      <c r="B466" s="3" t="s">
        <v>1741</v>
      </c>
      <c r="C466" s="3" t="s">
        <v>16</v>
      </c>
      <c r="D466" s="4" t="s">
        <v>17</v>
      </c>
      <c r="E466" s="4" t="s">
        <v>18</v>
      </c>
      <c r="F466" s="5">
        <v>57.36</v>
      </c>
      <c r="G466" s="3" t="s">
        <v>1141</v>
      </c>
      <c r="H466" s="3" t="s">
        <v>16</v>
      </c>
      <c r="I466" s="4" t="s">
        <v>1742</v>
      </c>
      <c r="J466" s="1" t="d">
        <v>2021-10-21</v>
      </c>
      <c r="K466" s="9" t="s">
        <v>20</v>
      </c>
      <c r="L466" s="5">
        <v>73.239999999999995</v>
      </c>
      <c r="M466" s="1" t="d">
        <v>2022-04-01</v>
      </c>
      <c r="N466" s="6" t="s">
        <v>16</v>
      </c>
      <c r="O466" s="9" t="s">
        <v>1449</v>
      </c>
    </row>
    <row r="467" spans="1:15" ht="12" x14ac:dyDescent="0.15">
      <c r="A467" s="1" t="d">
        <v>2026-03-24</v>
      </c>
      <c r="B467" s="3" t="s">
        <v>1743</v>
      </c>
      <c r="C467" s="3" t="s">
        <v>1744</v>
      </c>
      <c r="D467" s="4" t="s">
        <v>17</v>
      </c>
      <c r="E467" s="4" t="s">
        <v>18</v>
      </c>
      <c r="F467" s="6" t="s">
        <v>16</v>
      </c>
      <c r="G467" s="3" t="s">
        <v>1159</v>
      </c>
      <c r="H467" s="3" t="s">
        <v>16</v>
      </c>
      <c r="I467" s="4" t="s">
        <v>1745</v>
      </c>
      <c r="J467" s="1" t="d">
        <v>2026-03-24</v>
      </c>
      <c r="K467" s="9" t="s">
        <v>20</v>
      </c>
      <c r="L467" s="5">
        <v>72.36</v>
      </c>
      <c r="M467" s="1" t="d">
        <v>2026-03-24</v>
      </c>
      <c r="N467" s="5">
        <v>9.36</v>
      </c>
      <c r="O467" s="9" t="s">
        <v>119</v>
      </c>
    </row>
    <row r="468" spans="1:15" ht="12" x14ac:dyDescent="0.15">
      <c r="A468" s="1" t="d">
        <v>2025-05-16</v>
      </c>
      <c r="B468" s="3" t="s">
        <v>1746</v>
      </c>
      <c r="C468" s="3" t="s">
        <v>16</v>
      </c>
      <c r="D468" s="4" t="s">
        <v>17</v>
      </c>
      <c r="E468" s="4" t="s">
        <v>18</v>
      </c>
      <c r="F468" s="6" t="s">
        <v>16</v>
      </c>
      <c r="G468" s="3" t="s">
        <v>1747</v>
      </c>
      <c r="H468" s="3" t="s">
        <v>16</v>
      </c>
      <c r="I468" s="4" t="s">
        <v>1748</v>
      </c>
      <c r="J468" s="1" t="d">
        <v>2025-05-16</v>
      </c>
      <c r="K468" s="9" t="s">
        <v>20</v>
      </c>
      <c r="L468" s="5">
        <v>71.489999999999995</v>
      </c>
      <c r="M468" s="1" t="d">
        <v>2025-05-16</v>
      </c>
      <c r="N468" s="6" t="s">
        <v>16</v>
      </c>
      <c r="O468" s="9" t="s">
        <v>139</v>
      </c>
    </row>
    <row r="469" spans="1:15" ht="12" x14ac:dyDescent="0.15">
      <c r="A469" s="1" t="d">
        <v>2023-02-28</v>
      </c>
      <c r="B469" s="3" t="s">
        <v>1749</v>
      </c>
      <c r="C469" s="3" t="s">
        <v>16</v>
      </c>
      <c r="D469" s="4" t="s">
        <v>17</v>
      </c>
      <c r="E469" s="4" t="s">
        <v>18</v>
      </c>
      <c r="F469" s="7">
        <v>0.248</v>
      </c>
      <c r="G469" s="3" t="s">
        <v>16</v>
      </c>
      <c r="H469" s="3" t="s">
        <v>1750</v>
      </c>
      <c r="I469" s="4" t="s">
        <v>1751</v>
      </c>
      <c r="J469" s="1" t="d">
        <v>2023-02-28</v>
      </c>
      <c r="K469" s="9" t="s">
        <v>20</v>
      </c>
      <c r="L469" s="5">
        <v>71.12</v>
      </c>
      <c r="M469" s="1" t="d">
        <v>2024-02-28</v>
      </c>
      <c r="N469" s="6" t="s">
        <v>16</v>
      </c>
      <c r="O469" s="9" t="s">
        <v>50</v>
      </c>
    </row>
    <row r="470" spans="1:15" ht="24" x14ac:dyDescent="0.15">
      <c r="A470" s="1" t="d">
        <v>2025-10-12</v>
      </c>
      <c r="B470" s="3" t="s">
        <v>1752</v>
      </c>
      <c r="C470" s="3" t="s">
        <v>16</v>
      </c>
      <c r="D470" s="4" t="s">
        <v>17</v>
      </c>
      <c r="E470" s="4" t="s">
        <v>18</v>
      </c>
      <c r="F470" s="6" t="s">
        <v>16</v>
      </c>
      <c r="G470" s="3" t="s">
        <v>1753</v>
      </c>
      <c r="H470" s="3" t="s">
        <v>1754</v>
      </c>
      <c r="I470" s="4" t="s">
        <v>1755</v>
      </c>
      <c r="J470" s="1" t="d">
        <v>2025-10-12</v>
      </c>
      <c r="K470" s="9" t="s">
        <v>20</v>
      </c>
      <c r="L470" s="5">
        <v>70.89</v>
      </c>
      <c r="M470" s="1" t="d">
        <v>2025-10-12</v>
      </c>
      <c r="N470" s="6" t="s">
        <v>16</v>
      </c>
      <c r="O470" s="9" t="s">
        <v>1756</v>
      </c>
    </row>
    <row r="471" spans="1:15" ht="48" x14ac:dyDescent="0.15">
      <c r="A471" s="1" t="d">
        <v>2023-12-14</v>
      </c>
      <c r="B471" s="3" t="s">
        <v>1757</v>
      </c>
      <c r="C471" s="3" t="s">
        <v>16</v>
      </c>
      <c r="D471" s="4" t="s">
        <v>17</v>
      </c>
      <c r="E471" s="4" t="s">
        <v>18</v>
      </c>
      <c r="F471" s="5">
        <v>37.479999999999997</v>
      </c>
      <c r="G471" s="3" t="s">
        <v>16</v>
      </c>
      <c r="H471" s="3" t="s">
        <v>1758</v>
      </c>
      <c r="I471" s="4" t="s">
        <v>1759</v>
      </c>
      <c r="J471" s="1" t="d">
        <v>2023-12-14</v>
      </c>
      <c r="K471" s="9" t="s">
        <v>20</v>
      </c>
      <c r="L471" s="5">
        <v>70.58</v>
      </c>
      <c r="M471" s="1" t="d">
        <v>2024-03-01</v>
      </c>
      <c r="N471" s="6" t="s">
        <v>16</v>
      </c>
      <c r="O471" s="9" t="s">
        <v>1760</v>
      </c>
    </row>
    <row r="472" spans="1:15" ht="12" x14ac:dyDescent="0.15">
      <c r="A472" s="1" t="d">
        <v>2024-05-31</v>
      </c>
      <c r="B472" s="3" t="s">
        <v>1761</v>
      </c>
      <c r="C472" s="3" t="s">
        <v>16</v>
      </c>
      <c r="D472" s="4" t="s">
        <v>17</v>
      </c>
      <c r="E472" s="4" t="s">
        <v>18</v>
      </c>
      <c r="F472" s="6" t="s">
        <v>16</v>
      </c>
      <c r="G472" s="3" t="s">
        <v>1689</v>
      </c>
      <c r="H472" s="3" t="s">
        <v>16</v>
      </c>
      <c r="I472" s="4" t="s">
        <v>1762</v>
      </c>
      <c r="J472" s="1" t="d">
        <v>2024-05-31</v>
      </c>
      <c r="K472" s="9" t="s">
        <v>20</v>
      </c>
      <c r="L472" s="5">
        <v>70.489999999999995</v>
      </c>
      <c r="M472" s="1" t="d">
        <v>2024-07-17</v>
      </c>
      <c r="N472" s="6" t="s">
        <v>16</v>
      </c>
      <c r="O472" s="9" t="s">
        <v>139</v>
      </c>
    </row>
    <row r="473" spans="1:15" ht="36" x14ac:dyDescent="0.15">
      <c r="A473" s="1" t="d">
        <v>2024-02-12</v>
      </c>
      <c r="B473" s="3" t="s">
        <v>1763</v>
      </c>
      <c r="C473" s="3" t="s">
        <v>16</v>
      </c>
      <c r="D473" s="4" t="s">
        <v>17</v>
      </c>
      <c r="E473" s="4" t="s">
        <v>18</v>
      </c>
      <c r="F473" s="6" t="s">
        <v>16</v>
      </c>
      <c r="G473" s="3" t="s">
        <v>366</v>
      </c>
      <c r="H473" s="3" t="s">
        <v>1764</v>
      </c>
      <c r="I473" s="4" t="s">
        <v>1765</v>
      </c>
      <c r="J473" s="1" t="d">
        <v>2024-02-12</v>
      </c>
      <c r="K473" s="9" t="s">
        <v>20</v>
      </c>
      <c r="L473" s="5">
        <v>70.02</v>
      </c>
      <c r="M473" s="1" t="d">
        <v>2024-02-29</v>
      </c>
      <c r="N473" s="6" t="s">
        <v>16</v>
      </c>
      <c r="O473" s="9" t="s">
        <v>1766</v>
      </c>
    </row>
    <row r="474" spans="1:15" ht="12" x14ac:dyDescent="0.15">
      <c r="A474" s="1" t="d">
        <v>2022-11-16</v>
      </c>
      <c r="B474" s="3" t="s">
        <v>1445</v>
      </c>
      <c r="C474" s="3" t="s">
        <v>16</v>
      </c>
      <c r="D474" s="4" t="s">
        <v>17</v>
      </c>
      <c r="E474" s="4" t="s">
        <v>18</v>
      </c>
      <c r="F474" s="5">
        <v>31.29</v>
      </c>
      <c r="G474" s="3" t="s">
        <v>1767</v>
      </c>
      <c r="H474" s="3" t="s">
        <v>16</v>
      </c>
      <c r="I474" s="4" t="s">
        <v>1768</v>
      </c>
      <c r="J474" s="1" t="d">
        <v>2022-11-16</v>
      </c>
      <c r="K474" s="9" t="s">
        <v>20</v>
      </c>
      <c r="L474" s="5">
        <v>67.930000000000007</v>
      </c>
      <c r="M474" s="1" t="d">
        <v>2023-06-09</v>
      </c>
      <c r="N474" s="6" t="s">
        <v>16</v>
      </c>
      <c r="O474" s="9" t="s">
        <v>50</v>
      </c>
    </row>
    <row r="475" spans="1:15" ht="36" x14ac:dyDescent="0.15">
      <c r="A475" s="1" t="d">
        <v>2026-01-19</v>
      </c>
      <c r="B475" s="3" t="s">
        <v>1769</v>
      </c>
      <c r="C475" s="3" t="s">
        <v>1770</v>
      </c>
      <c r="D475" s="4" t="s">
        <v>17</v>
      </c>
      <c r="E475" s="4" t="s">
        <v>18</v>
      </c>
      <c r="F475" s="5">
        <v>71.73</v>
      </c>
      <c r="G475" s="3" t="s">
        <v>1771</v>
      </c>
      <c r="H475" s="3" t="s">
        <v>1772</v>
      </c>
      <c r="I475" s="4" t="s">
        <v>1773</v>
      </c>
      <c r="J475" s="1" t="d">
        <v>2026-01-19</v>
      </c>
      <c r="K475" s="9" t="s">
        <v>20</v>
      </c>
      <c r="L475" s="5">
        <v>67.84</v>
      </c>
      <c r="M475" s="1" t="d">
        <v>2026-01-19</v>
      </c>
      <c r="N475" s="5">
        <v>-1.31</v>
      </c>
      <c r="O475" s="9" t="s">
        <v>50</v>
      </c>
    </row>
    <row r="476" spans="1:15" ht="48" x14ac:dyDescent="0.15">
      <c r="A476" s="1" t="d">
        <v>2022-08-31</v>
      </c>
      <c r="B476" s="3" t="s">
        <v>1774</v>
      </c>
      <c r="C476" s="3" t="s">
        <v>16</v>
      </c>
      <c r="D476" s="4" t="s">
        <v>17</v>
      </c>
      <c r="E476" s="4" t="s">
        <v>18</v>
      </c>
      <c r="F476" s="5">
        <v>296.17</v>
      </c>
      <c r="G476" s="3" t="s">
        <v>1775</v>
      </c>
      <c r="H476" s="3" t="s">
        <v>1776</v>
      </c>
      <c r="I476" s="4" t="s">
        <v>1777</v>
      </c>
      <c r="J476" s="1" t="d">
        <v>2022-08-31</v>
      </c>
      <c r="K476" s="9" t="s">
        <v>20</v>
      </c>
      <c r="L476" s="5">
        <v>66.8</v>
      </c>
      <c r="M476" s="1" t="d">
        <v>2023-03-31</v>
      </c>
      <c r="N476" s="6" t="s">
        <v>16</v>
      </c>
      <c r="O476" s="9" t="s">
        <v>1778</v>
      </c>
    </row>
    <row r="477" spans="1:15" ht="24" x14ac:dyDescent="0.15">
      <c r="A477" s="1" t="d">
        <v>2021-09-30</v>
      </c>
      <c r="B477" s="3" t="s">
        <v>1779</v>
      </c>
      <c r="C477" s="3" t="s">
        <v>16</v>
      </c>
      <c r="D477" s="4" t="s">
        <v>17</v>
      </c>
      <c r="E477" s="4" t="s">
        <v>18</v>
      </c>
      <c r="F477" s="5">
        <v>143.62</v>
      </c>
      <c r="G477" s="3" t="s">
        <v>1780</v>
      </c>
      <c r="H477" s="3" t="s">
        <v>16</v>
      </c>
      <c r="I477" s="4" t="s">
        <v>1781</v>
      </c>
      <c r="J477" s="1" t="d">
        <v>2021-09-30</v>
      </c>
      <c r="K477" s="9" t="s">
        <v>20</v>
      </c>
      <c r="L477" s="5">
        <v>66.790000000000006</v>
      </c>
      <c r="M477" s="1" t="d">
        <v>2021-11-15</v>
      </c>
      <c r="N477" s="6" t="s">
        <v>16</v>
      </c>
      <c r="O477" s="9" t="s">
        <v>1725</v>
      </c>
    </row>
    <row r="478" spans="1:15" ht="12" x14ac:dyDescent="0.15">
      <c r="A478" s="1" t="d">
        <v>2021-12-08</v>
      </c>
      <c r="B478" s="3" t="s">
        <v>1782</v>
      </c>
      <c r="C478" s="3" t="s">
        <v>16</v>
      </c>
      <c r="D478" s="4" t="s">
        <v>17</v>
      </c>
      <c r="E478" s="4" t="s">
        <v>18</v>
      </c>
      <c r="F478" s="5">
        <v>297.33999999999997</v>
      </c>
      <c r="G478" s="3" t="s">
        <v>1783</v>
      </c>
      <c r="H478" s="3" t="s">
        <v>16</v>
      </c>
      <c r="I478" s="4" t="s">
        <v>1784</v>
      </c>
      <c r="J478" s="1" t="d">
        <v>2021-12-08</v>
      </c>
      <c r="K478" s="9" t="s">
        <v>20</v>
      </c>
      <c r="L478" s="5">
        <v>66.59</v>
      </c>
      <c r="M478" s="1" t="d">
        <v>2021-12-09</v>
      </c>
      <c r="N478" s="6" t="s">
        <v>16</v>
      </c>
      <c r="O478" s="9" t="s">
        <v>110</v>
      </c>
    </row>
    <row r="479" spans="1:15" ht="24" x14ac:dyDescent="0.15">
      <c r="A479" s="1" t="d">
        <v>2022-12-13</v>
      </c>
      <c r="B479" s="3" t="s">
        <v>1785</v>
      </c>
      <c r="C479" s="3" t="s">
        <v>16</v>
      </c>
      <c r="D479" s="4" t="s">
        <v>17</v>
      </c>
      <c r="E479" s="4" t="s">
        <v>18</v>
      </c>
      <c r="F479" s="6" t="s">
        <v>16</v>
      </c>
      <c r="G479" s="3" t="s">
        <v>1786</v>
      </c>
      <c r="H479" s="3" t="s">
        <v>16</v>
      </c>
      <c r="I479" s="4" t="s">
        <v>1787</v>
      </c>
      <c r="J479" s="1" t="d">
        <v>2022-12-13</v>
      </c>
      <c r="K479" s="9" t="s">
        <v>20</v>
      </c>
      <c r="L479" s="5">
        <v>66.010000000000005</v>
      </c>
      <c r="M479" s="1" t="d">
        <v>2022-12-13</v>
      </c>
      <c r="N479" s="6" t="s">
        <v>16</v>
      </c>
      <c r="O479" s="9" t="s">
        <v>1132</v>
      </c>
    </row>
    <row r="480" spans="1:15" ht="24" x14ac:dyDescent="0.15">
      <c r="A480" s="1" t="d">
        <v>2023-07-21</v>
      </c>
      <c r="B480" s="3" t="s">
        <v>1788</v>
      </c>
      <c r="C480" s="3" t="s">
        <v>16</v>
      </c>
      <c r="D480" s="4" t="s">
        <v>17</v>
      </c>
      <c r="E480" s="4" t="s">
        <v>18</v>
      </c>
      <c r="F480" s="5">
        <v>161.80000000000001</v>
      </c>
      <c r="G480" s="3" t="s">
        <v>86</v>
      </c>
      <c r="H480" s="3" t="s">
        <v>1789</v>
      </c>
      <c r="I480" s="4" t="s">
        <v>1790</v>
      </c>
      <c r="J480" s="1" t="d">
        <v>2023-07-21</v>
      </c>
      <c r="K480" s="9" t="s">
        <v>20</v>
      </c>
      <c r="L480" s="5">
        <v>65</v>
      </c>
      <c r="M480" s="1" t="d">
        <v>2023-07-21</v>
      </c>
      <c r="N480" s="6" t="s">
        <v>16</v>
      </c>
      <c r="O480" s="9" t="s">
        <v>364</v>
      </c>
    </row>
    <row r="481" spans="1:15" ht="48" x14ac:dyDescent="0.15">
      <c r="A481" s="1" t="d">
        <v>2023-02-16</v>
      </c>
      <c r="B481" s="3" t="s">
        <v>1791</v>
      </c>
      <c r="C481" s="3" t="s">
        <v>16</v>
      </c>
      <c r="D481" s="4" t="s">
        <v>17</v>
      </c>
      <c r="E481" s="4" t="s">
        <v>18</v>
      </c>
      <c r="F481" s="5">
        <v>109.49</v>
      </c>
      <c r="G481" s="3" t="s">
        <v>1792</v>
      </c>
      <c r="H481" s="3" t="s">
        <v>16</v>
      </c>
      <c r="I481" s="4" t="s">
        <v>1793</v>
      </c>
      <c r="J481" s="1" t="d">
        <v>2023-02-16</v>
      </c>
      <c r="K481" s="9" t="s">
        <v>20</v>
      </c>
      <c r="L481" s="5">
        <v>64.36</v>
      </c>
      <c r="M481" s="1" t="d">
        <v>2023-06-26</v>
      </c>
      <c r="N481" s="6" t="s">
        <v>16</v>
      </c>
      <c r="O481" s="9" t="s">
        <v>1353</v>
      </c>
    </row>
    <row r="482" spans="1:15" ht="12" x14ac:dyDescent="0.15">
      <c r="A482" s="1" t="d">
        <v>2024-04-23</v>
      </c>
      <c r="B482" s="3" t="s">
        <v>1794</v>
      </c>
      <c r="C482" s="3" t="s">
        <v>16</v>
      </c>
      <c r="D482" s="4" t="s">
        <v>17</v>
      </c>
      <c r="E482" s="4" t="s">
        <v>18</v>
      </c>
      <c r="F482" s="6" t="s">
        <v>16</v>
      </c>
      <c r="G482" s="3" t="s">
        <v>1795</v>
      </c>
      <c r="H482" s="3" t="s">
        <v>1796</v>
      </c>
      <c r="I482" s="4" t="s">
        <v>1797</v>
      </c>
      <c r="J482" s="1" t="d">
        <v>2024-04-23</v>
      </c>
      <c r="K482" s="9" t="s">
        <v>20</v>
      </c>
      <c r="L482" s="5">
        <v>64.2</v>
      </c>
      <c r="M482" s="1" t="d">
        <v>2024-06-22</v>
      </c>
      <c r="N482" s="6" t="s">
        <v>16</v>
      </c>
      <c r="O482" s="9" t="s">
        <v>633</v>
      </c>
    </row>
    <row r="483" spans="1:15" ht="12" x14ac:dyDescent="0.15">
      <c r="A483" s="1" t="d">
        <v>2023-06-06</v>
      </c>
      <c r="B483" s="3" t="s">
        <v>1798</v>
      </c>
      <c r="C483" s="3" t="s">
        <v>16</v>
      </c>
      <c r="D483" s="4" t="s">
        <v>17</v>
      </c>
      <c r="E483" s="4" t="s">
        <v>18</v>
      </c>
      <c r="F483" s="6" t="s">
        <v>16</v>
      </c>
      <c r="G483" s="3" t="s">
        <v>1799</v>
      </c>
      <c r="H483" s="3" t="s">
        <v>16</v>
      </c>
      <c r="I483" s="4" t="s">
        <v>1800</v>
      </c>
      <c r="J483" s="1" t="d">
        <v>2023-06-06</v>
      </c>
      <c r="K483" s="9" t="s">
        <v>20</v>
      </c>
      <c r="L483" s="5">
        <v>64.13</v>
      </c>
      <c r="M483" s="1" t="d">
        <v>2023-06-06</v>
      </c>
      <c r="N483" s="6" t="s">
        <v>16</v>
      </c>
      <c r="O483" s="9" t="s">
        <v>139</v>
      </c>
    </row>
    <row r="484" spans="1:15" ht="12" x14ac:dyDescent="0.15">
      <c r="A484" s="1" t="d">
        <v>2022-06-29</v>
      </c>
      <c r="B484" s="3" t="s">
        <v>1801</v>
      </c>
      <c r="C484" s="3" t="s">
        <v>16</v>
      </c>
      <c r="D484" s="4" t="s">
        <v>17</v>
      </c>
      <c r="E484" s="4" t="s">
        <v>18</v>
      </c>
      <c r="F484" s="5">
        <v>16.12</v>
      </c>
      <c r="G484" s="3" t="s">
        <v>1802</v>
      </c>
      <c r="H484" s="3" t="s">
        <v>16</v>
      </c>
      <c r="I484" s="4" t="s">
        <v>1803</v>
      </c>
      <c r="J484" s="1" t="d">
        <v>2022-06-29</v>
      </c>
      <c r="K484" s="9" t="s">
        <v>20</v>
      </c>
      <c r="L484" s="5">
        <v>63.87</v>
      </c>
      <c r="M484" s="1" t="d">
        <v>2022-07-29</v>
      </c>
      <c r="N484" s="6" t="s">
        <v>16</v>
      </c>
      <c r="O484" s="9" t="s">
        <v>110</v>
      </c>
    </row>
    <row r="485" spans="1:15" ht="24" x14ac:dyDescent="0.15">
      <c r="A485" s="1" t="d">
        <v>2021-10-12</v>
      </c>
      <c r="B485" s="3" t="s">
        <v>1804</v>
      </c>
      <c r="C485" s="3" t="s">
        <v>16</v>
      </c>
      <c r="D485" s="4" t="s">
        <v>17</v>
      </c>
      <c r="E485" s="4" t="s">
        <v>18</v>
      </c>
      <c r="F485" s="6" t="s">
        <v>16</v>
      </c>
      <c r="G485" s="3" t="s">
        <v>1805</v>
      </c>
      <c r="H485" s="3" t="s">
        <v>1806</v>
      </c>
      <c r="I485" s="4" t="s">
        <v>1807</v>
      </c>
      <c r="J485" s="1" t="d">
        <v>2021-10-12</v>
      </c>
      <c r="K485" s="9" t="s">
        <v>20</v>
      </c>
      <c r="L485" s="5">
        <v>63.78</v>
      </c>
      <c r="M485" s="1" t="d">
        <v>2021-11-19</v>
      </c>
      <c r="N485" s="7">
        <v>4.1000000000000002E-2</v>
      </c>
      <c r="O485" s="9" t="s">
        <v>1318</v>
      </c>
    </row>
    <row r="486" spans="1:15" ht="12" x14ac:dyDescent="0.15">
      <c r="A486" s="1" t="d">
        <v>2025-04-17</v>
      </c>
      <c r="B486" s="3" t="s">
        <v>1808</v>
      </c>
      <c r="C486" s="3" t="s">
        <v>16</v>
      </c>
      <c r="D486" s="4" t="s">
        <v>17</v>
      </c>
      <c r="E486" s="4" t="s">
        <v>18</v>
      </c>
      <c r="F486" s="5">
        <v>36</v>
      </c>
      <c r="G486" s="3" t="s">
        <v>1809</v>
      </c>
      <c r="H486" s="3" t="s">
        <v>16</v>
      </c>
      <c r="I486" s="4" t="s">
        <v>1810</v>
      </c>
      <c r="J486" s="1" t="d">
        <v>2025-04-17</v>
      </c>
      <c r="K486" s="9" t="s">
        <v>20</v>
      </c>
      <c r="L486" s="5">
        <v>63.5</v>
      </c>
      <c r="M486" s="1" t="d">
        <v>2025-04-30</v>
      </c>
      <c r="N486" s="6" t="s">
        <v>16</v>
      </c>
      <c r="O486" s="9" t="s">
        <v>40</v>
      </c>
    </row>
    <row r="487" spans="1:15" ht="24" x14ac:dyDescent="0.15">
      <c r="A487" s="1" t="d">
        <v>2024-06-11</v>
      </c>
      <c r="B487" s="3" t="s">
        <v>1811</v>
      </c>
      <c r="C487" s="3" t="s">
        <v>16</v>
      </c>
      <c r="D487" s="4" t="s">
        <v>17</v>
      </c>
      <c r="E487" s="4" t="s">
        <v>18</v>
      </c>
      <c r="F487" s="5">
        <v>702.17</v>
      </c>
      <c r="G487" s="3" t="s">
        <v>1812</v>
      </c>
      <c r="H487" s="3" t="s">
        <v>1813</v>
      </c>
      <c r="I487" s="4" t="s">
        <v>1814</v>
      </c>
      <c r="J487" s="1" t="d">
        <v>2024-06-11</v>
      </c>
      <c r="K487" s="9" t="s">
        <v>20</v>
      </c>
      <c r="L487" s="5">
        <v>63.1</v>
      </c>
      <c r="M487" s="1" t="d">
        <v>2024-08-29</v>
      </c>
      <c r="N487" s="6" t="s">
        <v>16</v>
      </c>
      <c r="O487" s="9" t="s">
        <v>1815</v>
      </c>
    </row>
    <row r="488" spans="1:15" ht="24" x14ac:dyDescent="0.15">
      <c r="A488" s="1" t="d">
        <v>2022-04-29</v>
      </c>
      <c r="B488" s="3" t="s">
        <v>1816</v>
      </c>
      <c r="C488" s="3" t="s">
        <v>16</v>
      </c>
      <c r="D488" s="4" t="s">
        <v>17</v>
      </c>
      <c r="E488" s="4" t="s">
        <v>18</v>
      </c>
      <c r="F488" s="5">
        <v>428.54</v>
      </c>
      <c r="G488" s="3" t="s">
        <v>1817</v>
      </c>
      <c r="H488" s="3" t="s">
        <v>1818</v>
      </c>
      <c r="I488" s="4" t="s">
        <v>1819</v>
      </c>
      <c r="J488" s="1" t="d">
        <v>2022-04-29</v>
      </c>
      <c r="K488" s="9" t="s">
        <v>20</v>
      </c>
      <c r="L488" s="5">
        <v>63.09</v>
      </c>
      <c r="M488" s="1" t="d">
        <v>2022-07-07</v>
      </c>
      <c r="N488" s="6" t="s">
        <v>16</v>
      </c>
      <c r="O488" s="9" t="s">
        <v>93</v>
      </c>
    </row>
    <row r="489" spans="1:15" ht="36" x14ac:dyDescent="0.15">
      <c r="A489" s="1" t="d">
        <v>2022-10-26</v>
      </c>
      <c r="B489" s="3" t="s">
        <v>1820</v>
      </c>
      <c r="C489" s="3" t="s">
        <v>16</v>
      </c>
      <c r="D489" s="4" t="s">
        <v>17</v>
      </c>
      <c r="E489" s="4" t="s">
        <v>18</v>
      </c>
      <c r="F489" s="6" t="s">
        <v>16</v>
      </c>
      <c r="G489" s="3" t="s">
        <v>1821</v>
      </c>
      <c r="H489" s="3" t="s">
        <v>1822</v>
      </c>
      <c r="I489" s="4" t="s">
        <v>1823</v>
      </c>
      <c r="J489" s="1" t="d">
        <v>2022-10-26</v>
      </c>
      <c r="K489" s="9" t="s">
        <v>20</v>
      </c>
      <c r="L489" s="5">
        <v>62.96</v>
      </c>
      <c r="M489" s="1" t="d">
        <v>2023-02-23</v>
      </c>
      <c r="N489" s="10">
        <v>-11.6</v>
      </c>
      <c r="O489" s="9" t="s">
        <v>1824</v>
      </c>
    </row>
    <row r="490" spans="1:15" ht="24" x14ac:dyDescent="0.15">
      <c r="A490" s="1" t="d">
        <v>2025-09-24</v>
      </c>
      <c r="B490" s="3" t="s">
        <v>1825</v>
      </c>
      <c r="C490" s="3" t="s">
        <v>1826</v>
      </c>
      <c r="D490" s="4" t="s">
        <v>17</v>
      </c>
      <c r="E490" s="4" t="s">
        <v>18</v>
      </c>
      <c r="F490" s="5">
        <v>69.53</v>
      </c>
      <c r="G490" s="3" t="s">
        <v>1827</v>
      </c>
      <c r="H490" s="3" t="s">
        <v>1828</v>
      </c>
      <c r="I490" s="4" t="s">
        <v>1829</v>
      </c>
      <c r="J490" s="1" t="d">
        <v>2025-09-24</v>
      </c>
      <c r="K490" s="9" t="s">
        <v>20</v>
      </c>
      <c r="L490" s="5">
        <v>62.78</v>
      </c>
      <c r="M490" s="1" t="d">
        <v>2025-12-25</v>
      </c>
      <c r="N490" s="7">
        <v>0.875</v>
      </c>
      <c r="O490" s="9" t="s">
        <v>50</v>
      </c>
    </row>
    <row r="491" spans="1:15" ht="12" x14ac:dyDescent="0.15">
      <c r="A491" s="1" t="d">
        <v>2022-01-25</v>
      </c>
      <c r="B491" s="3" t="s">
        <v>1830</v>
      </c>
      <c r="C491" s="3" t="s">
        <v>1831</v>
      </c>
      <c r="D491" s="4" t="s">
        <v>17</v>
      </c>
      <c r="E491" s="4" t="s">
        <v>18</v>
      </c>
      <c r="F491" s="5">
        <v>40.32</v>
      </c>
      <c r="G491" s="3" t="s">
        <v>16</v>
      </c>
      <c r="H491" s="3" t="s">
        <v>1832</v>
      </c>
      <c r="I491" s="4" t="s">
        <v>1833</v>
      </c>
      <c r="J491" s="1" t="d">
        <v>2022-01-25</v>
      </c>
      <c r="K491" s="9" t="s">
        <v>20</v>
      </c>
      <c r="L491" s="5">
        <v>62.55</v>
      </c>
      <c r="M491" s="1" t="d">
        <v>2022-01-24</v>
      </c>
      <c r="N491" s="5">
        <v>-5.86</v>
      </c>
      <c r="O491" s="9" t="s">
        <v>50</v>
      </c>
    </row>
    <row r="492" spans="1:15" ht="48" x14ac:dyDescent="0.15">
      <c r="A492" s="1" t="d">
        <v>2024-04-08</v>
      </c>
      <c r="B492" s="3" t="s">
        <v>1834</v>
      </c>
      <c r="C492" s="3" t="s">
        <v>16</v>
      </c>
      <c r="D492" s="4" t="s">
        <v>17</v>
      </c>
      <c r="E492" s="4" t="s">
        <v>18</v>
      </c>
      <c r="F492" s="5">
        <v>175.68</v>
      </c>
      <c r="G492" s="3" t="s">
        <v>527</v>
      </c>
      <c r="H492" s="3" t="s">
        <v>1835</v>
      </c>
      <c r="I492" s="4" t="s">
        <v>1836</v>
      </c>
      <c r="J492" s="1" t="d">
        <v>2024-04-08</v>
      </c>
      <c r="K492" s="9" t="s">
        <v>20</v>
      </c>
      <c r="L492" s="5">
        <v>62.43</v>
      </c>
      <c r="M492" s="1" t="d">
        <v>2024-07-09</v>
      </c>
      <c r="N492" s="6" t="s">
        <v>16</v>
      </c>
      <c r="O492" s="9" t="s">
        <v>299</v>
      </c>
    </row>
    <row r="493" spans="1:15" ht="12" x14ac:dyDescent="0.15">
      <c r="A493" s="1" t="d">
        <v>2022-05-17</v>
      </c>
      <c r="B493" s="3" t="s">
        <v>1837</v>
      </c>
      <c r="C493" s="3" t="s">
        <v>16</v>
      </c>
      <c r="D493" s="4" t="s">
        <v>17</v>
      </c>
      <c r="E493" s="4" t="s">
        <v>18</v>
      </c>
      <c r="F493" s="5">
        <v>126.4</v>
      </c>
      <c r="G493" s="3" t="s">
        <v>504</v>
      </c>
      <c r="H493" s="3" t="s">
        <v>1838</v>
      </c>
      <c r="I493" s="4" t="s">
        <v>1839</v>
      </c>
      <c r="J493" s="1" t="d">
        <v>2022-05-17</v>
      </c>
      <c r="K493" s="9" t="s">
        <v>20</v>
      </c>
      <c r="L493" s="5">
        <v>62.14</v>
      </c>
      <c r="M493" s="1" t="d">
        <v>2022-09-30</v>
      </c>
      <c r="N493" s="6" t="s">
        <v>16</v>
      </c>
      <c r="O493" s="9" t="s">
        <v>101</v>
      </c>
    </row>
    <row r="494" spans="1:15" ht="12" x14ac:dyDescent="0.15">
      <c r="A494" s="1" t="d">
        <v>2022-05-17</v>
      </c>
      <c r="B494" s="3" t="s">
        <v>1840</v>
      </c>
      <c r="C494" s="3" t="s">
        <v>16</v>
      </c>
      <c r="D494" s="4" t="s">
        <v>17</v>
      </c>
      <c r="E494" s="4" t="s">
        <v>18</v>
      </c>
      <c r="F494" s="5">
        <v>126.4</v>
      </c>
      <c r="G494" s="3" t="s">
        <v>504</v>
      </c>
      <c r="H494" s="3" t="s">
        <v>1838</v>
      </c>
      <c r="I494" s="4" t="s">
        <v>1841</v>
      </c>
      <c r="J494" s="1" t="d">
        <v>2022-05-17</v>
      </c>
      <c r="K494" s="9" t="s">
        <v>20</v>
      </c>
      <c r="L494" s="5">
        <v>62.14</v>
      </c>
      <c r="M494" s="1" t="d">
        <v>2022-10-11</v>
      </c>
      <c r="N494" s="6" t="s">
        <v>16</v>
      </c>
      <c r="O494" s="9" t="s">
        <v>101</v>
      </c>
    </row>
    <row r="495" spans="1:15" ht="12" x14ac:dyDescent="0.15">
      <c r="A495" s="1" t="d">
        <v>2022-11-09</v>
      </c>
      <c r="B495" s="3" t="s">
        <v>1842</v>
      </c>
      <c r="C495" s="3" t="s">
        <v>1843</v>
      </c>
      <c r="D495" s="4" t="s">
        <v>17</v>
      </c>
      <c r="E495" s="4" t="s">
        <v>18</v>
      </c>
      <c r="F495" s="5">
        <v>11.99</v>
      </c>
      <c r="G495" s="3" t="s">
        <v>1844</v>
      </c>
      <c r="H495" s="3" t="s">
        <v>16</v>
      </c>
      <c r="I495" s="4" t="s">
        <v>1845</v>
      </c>
      <c r="J495" s="1" t="d">
        <v>2022-11-09</v>
      </c>
      <c r="K495" s="9" t="s">
        <v>20</v>
      </c>
      <c r="L495" s="5">
        <v>61.79</v>
      </c>
      <c r="M495" s="1" t="d">
        <v>2022-12-12</v>
      </c>
      <c r="N495" s="5">
        <v>-9.67</v>
      </c>
      <c r="O495" s="9" t="s">
        <v>50</v>
      </c>
    </row>
    <row r="496" spans="1:15" ht="12" x14ac:dyDescent="0.15">
      <c r="A496" s="1" t="d">
        <v>2025-05-08</v>
      </c>
      <c r="B496" s="3" t="s">
        <v>1846</v>
      </c>
      <c r="C496" s="3" t="s">
        <v>16</v>
      </c>
      <c r="D496" s="4" t="s">
        <v>17</v>
      </c>
      <c r="E496" s="4" t="s">
        <v>18</v>
      </c>
      <c r="F496" s="5">
        <v>277.89</v>
      </c>
      <c r="G496" s="3" t="s">
        <v>1847</v>
      </c>
      <c r="H496" s="3" t="s">
        <v>16</v>
      </c>
      <c r="I496" s="4" t="s">
        <v>1848</v>
      </c>
      <c r="J496" s="1" t="d">
        <v>2025-05-08</v>
      </c>
      <c r="K496" s="9" t="s">
        <v>20</v>
      </c>
      <c r="L496" s="5">
        <v>61.01</v>
      </c>
      <c r="M496" s="1" t="d">
        <v>2025-10-30</v>
      </c>
      <c r="N496" s="6" t="s">
        <v>16</v>
      </c>
      <c r="O496" s="9" t="s">
        <v>212</v>
      </c>
    </row>
    <row r="497" spans="1:15" ht="12" x14ac:dyDescent="0.15">
      <c r="A497" s="1" t="d">
        <v>2023-07-24</v>
      </c>
      <c r="B497" s="3" t="s">
        <v>1849</v>
      </c>
      <c r="C497" s="3" t="s">
        <v>16</v>
      </c>
      <c r="D497" s="4" t="s">
        <v>17</v>
      </c>
      <c r="E497" s="4" t="s">
        <v>18</v>
      </c>
      <c r="F497" s="5">
        <v>87.54</v>
      </c>
      <c r="G497" s="3" t="s">
        <v>1850</v>
      </c>
      <c r="H497" s="3" t="s">
        <v>1851</v>
      </c>
      <c r="I497" s="4" t="s">
        <v>1852</v>
      </c>
      <c r="J497" s="1" t="d">
        <v>2023-07-24</v>
      </c>
      <c r="K497" s="9" t="s">
        <v>20</v>
      </c>
      <c r="L497" s="5">
        <v>60.6</v>
      </c>
      <c r="M497" s="1" t="d">
        <v>2023-10-12</v>
      </c>
      <c r="N497" s="6" t="s">
        <v>16</v>
      </c>
      <c r="O497" s="9" t="s">
        <v>110</v>
      </c>
    </row>
    <row r="498" spans="1:15" ht="12" x14ac:dyDescent="0.15">
      <c r="A498" s="1" t="d">
        <v>2024-05-31</v>
      </c>
      <c r="B498" s="3" t="s">
        <v>1853</v>
      </c>
      <c r="C498" s="3" t="s">
        <v>16</v>
      </c>
      <c r="D498" s="4" t="s">
        <v>17</v>
      </c>
      <c r="E498" s="4" t="s">
        <v>18</v>
      </c>
      <c r="F498" s="6" t="s">
        <v>16</v>
      </c>
      <c r="G498" s="3" t="s">
        <v>1854</v>
      </c>
      <c r="H498" s="3" t="s">
        <v>1855</v>
      </c>
      <c r="I498" s="4" t="s">
        <v>1856</v>
      </c>
      <c r="J498" s="1" t="d">
        <v>2024-05-31</v>
      </c>
      <c r="K498" s="9" t="s">
        <v>20</v>
      </c>
      <c r="L498" s="5">
        <v>60.55</v>
      </c>
      <c r="M498" s="1" t="d">
        <v>2024-05-31</v>
      </c>
      <c r="N498" s="10">
        <v>13.1</v>
      </c>
      <c r="O498" s="9" t="s">
        <v>31</v>
      </c>
    </row>
    <row r="499" spans="1:15" ht="12" x14ac:dyDescent="0.15">
      <c r="A499" s="1" t="d">
        <v>2026-04-27</v>
      </c>
      <c r="B499" s="3" t="s">
        <v>1857</v>
      </c>
      <c r="C499" s="3" t="s">
        <v>1858</v>
      </c>
      <c r="D499" s="4" t="s">
        <v>17</v>
      </c>
      <c r="E499" s="4" t="s">
        <v>18</v>
      </c>
      <c r="F499" s="5">
        <v>11.54</v>
      </c>
      <c r="G499" s="3" t="s">
        <v>1859</v>
      </c>
      <c r="H499" s="3" t="s">
        <v>16</v>
      </c>
      <c r="I499" s="4" t="s">
        <v>1860</v>
      </c>
      <c r="J499" s="1" t="d">
        <v>2026-04-27</v>
      </c>
      <c r="K499" s="9" t="s">
        <v>20</v>
      </c>
      <c r="L499" s="5">
        <v>60.08</v>
      </c>
      <c r="M499" s="1" t="d">
        <v>2026-04-22</v>
      </c>
      <c r="N499" s="5">
        <v>1.67</v>
      </c>
      <c r="O499" s="9" t="s">
        <v>50</v>
      </c>
    </row>
    <row r="500" spans="1:15" ht="36" x14ac:dyDescent="0.15">
      <c r="A500" s="1" t="d">
        <v>2022-09-13</v>
      </c>
      <c r="B500" s="3" t="s">
        <v>1801</v>
      </c>
      <c r="C500" s="3" t="s">
        <v>16</v>
      </c>
      <c r="D500" s="4" t="s">
        <v>17</v>
      </c>
      <c r="E500" s="4" t="s">
        <v>18</v>
      </c>
      <c r="F500" s="5">
        <v>6.4</v>
      </c>
      <c r="G500" s="3" t="s">
        <v>1802</v>
      </c>
      <c r="H500" s="3" t="s">
        <v>16</v>
      </c>
      <c r="I500" s="4" t="s">
        <v>1861</v>
      </c>
      <c r="J500" s="1" t="d">
        <v>2022-09-13</v>
      </c>
      <c r="K500" s="9" t="s">
        <v>20</v>
      </c>
      <c r="L500" s="5">
        <v>60.04</v>
      </c>
      <c r="M500" s="1" t="d">
        <v>2022-10-03</v>
      </c>
      <c r="N500" s="6" t="s">
        <v>16</v>
      </c>
      <c r="O500" s="9" t="s">
        <v>1862</v>
      </c>
    </row>
    <row r="501" spans="1:15" ht="12" x14ac:dyDescent="0.15">
      <c r="A501" s="1" t="d">
        <v>2021-11-29</v>
      </c>
      <c r="B501" s="3" t="s">
        <v>1863</v>
      </c>
      <c r="C501" s="3" t="s">
        <v>16</v>
      </c>
      <c r="D501" s="4" t="s">
        <v>17</v>
      </c>
      <c r="E501" s="4" t="s">
        <v>18</v>
      </c>
      <c r="F501" s="6" t="s">
        <v>16</v>
      </c>
      <c r="G501" s="3" t="s">
        <v>1864</v>
      </c>
      <c r="H501" s="3" t="s">
        <v>16</v>
      </c>
      <c r="I501" s="4" t="s">
        <v>1865</v>
      </c>
      <c r="J501" s="1" t="d">
        <v>2021-11-29</v>
      </c>
      <c r="K501" s="9" t="s">
        <v>20</v>
      </c>
      <c r="L501" s="5">
        <v>60</v>
      </c>
      <c r="M501" s="1" t="d">
        <v>2021-11-29</v>
      </c>
      <c r="N501" s="6" t="s">
        <v>16</v>
      </c>
      <c r="O501" s="9" t="s">
        <v>139</v>
      </c>
    </row>
    <row r="502" spans="1:15" ht="24" x14ac:dyDescent="0.15">
      <c r="A502" s="1" t="d">
        <v>2026-06-29</v>
      </c>
      <c r="B502" s="3" t="s">
        <v>1866</v>
      </c>
      <c r="C502" s="3" t="s">
        <v>16</v>
      </c>
      <c r="D502" s="4" t="s">
        <v>17</v>
      </c>
      <c r="E502" s="4" t="s">
        <v>18</v>
      </c>
      <c r="F502" s="5">
        <v>7.13</v>
      </c>
      <c r="G502" s="3" t="s">
        <v>1867</v>
      </c>
      <c r="H502" s="3" t="s">
        <v>16</v>
      </c>
      <c r="I502" s="4" t="s">
        <v>1868</v>
      </c>
      <c r="J502" s="1" t="d">
        <v>2026-06-29</v>
      </c>
      <c r="K502" s="9" t="s">
        <v>20</v>
      </c>
      <c r="L502" s="5">
        <v>59.87</v>
      </c>
      <c r="M502" s="1" t="d">
        <v>2026-06-29</v>
      </c>
      <c r="N502" s="6" t="s">
        <v>16</v>
      </c>
      <c r="O502" s="9" t="s">
        <v>65</v>
      </c>
    </row>
    <row r="503" spans="1:15" ht="12" x14ac:dyDescent="0.15">
      <c r="A503" s="1" t="d">
        <v>2026-01-29</v>
      </c>
      <c r="B503" s="3" t="s">
        <v>1869</v>
      </c>
      <c r="C503" s="3" t="s">
        <v>16</v>
      </c>
      <c r="D503" s="4" t="s">
        <v>17</v>
      </c>
      <c r="E503" s="4" t="s">
        <v>18</v>
      </c>
      <c r="F503" s="6" t="s">
        <v>16</v>
      </c>
      <c r="G503" s="3" t="s">
        <v>962</v>
      </c>
      <c r="H503" s="3" t="s">
        <v>16</v>
      </c>
      <c r="I503" s="4" t="s">
        <v>1870</v>
      </c>
      <c r="J503" s="1" t="d">
        <v>2026-01-29</v>
      </c>
      <c r="K503" s="9" t="s">
        <v>20</v>
      </c>
      <c r="L503" s="5">
        <v>59.66</v>
      </c>
      <c r="M503" s="1" t="d">
        <v>2026-01-29</v>
      </c>
      <c r="N503" s="5">
        <v>3.37</v>
      </c>
      <c r="O503" s="9" t="s">
        <v>633</v>
      </c>
    </row>
    <row r="504" spans="1:15" ht="12" x14ac:dyDescent="0.15">
      <c r="A504" s="1" t="d">
        <v>2022-02-07</v>
      </c>
      <c r="B504" s="3" t="s">
        <v>1871</v>
      </c>
      <c r="C504" s="3" t="s">
        <v>16</v>
      </c>
      <c r="D504" s="4" t="s">
        <v>17</v>
      </c>
      <c r="E504" s="4" t="s">
        <v>18</v>
      </c>
      <c r="F504" s="5">
        <v>235.49</v>
      </c>
      <c r="G504" s="3" t="s">
        <v>1872</v>
      </c>
      <c r="H504" s="3" t="s">
        <v>1873</v>
      </c>
      <c r="I504" s="4" t="s">
        <v>1874</v>
      </c>
      <c r="J504" s="1" t="d">
        <v>2022-02-07</v>
      </c>
      <c r="K504" s="9" t="s">
        <v>20</v>
      </c>
      <c r="L504" s="5">
        <v>59.55</v>
      </c>
      <c r="M504" s="1" t="d">
        <v>2022-02-07</v>
      </c>
      <c r="N504" s="6" t="s">
        <v>16</v>
      </c>
      <c r="O504" s="9" t="s">
        <v>101</v>
      </c>
    </row>
    <row r="505" spans="1:15" ht="12" x14ac:dyDescent="0.15">
      <c r="A505" s="1" t="d">
        <v>2026-06-24</v>
      </c>
      <c r="B505" s="3" t="s">
        <v>1875</v>
      </c>
      <c r="C505" s="3" t="s">
        <v>16</v>
      </c>
      <c r="D505" s="4" t="s">
        <v>17</v>
      </c>
      <c r="E505" s="4" t="s">
        <v>18</v>
      </c>
      <c r="F505" s="5">
        <v>310</v>
      </c>
      <c r="G505" s="3" t="s">
        <v>1876</v>
      </c>
      <c r="H505" s="3" t="s">
        <v>16</v>
      </c>
      <c r="I505" s="4" t="s">
        <v>1877</v>
      </c>
      <c r="J505" s="1" t="d">
        <v>2026-06-24</v>
      </c>
      <c r="K505" s="9" t="s">
        <v>20</v>
      </c>
      <c r="L505" s="5">
        <v>59</v>
      </c>
      <c r="M505" s="1" t="d">
        <v>2026-08-03</v>
      </c>
      <c r="N505" s="6" t="s">
        <v>16</v>
      </c>
      <c r="O505" s="9" t="s">
        <v>759</v>
      </c>
    </row>
    <row r="506" spans="1:15" ht="36" x14ac:dyDescent="0.15">
      <c r="A506" s="1" t="d">
        <v>2023-12-19</v>
      </c>
      <c r="B506" s="3" t="s">
        <v>1878</v>
      </c>
      <c r="C506" s="3" t="s">
        <v>1879</v>
      </c>
      <c r="D506" s="4" t="s">
        <v>17</v>
      </c>
      <c r="E506" s="4" t="s">
        <v>18</v>
      </c>
      <c r="F506" s="6" t="s">
        <v>16</v>
      </c>
      <c r="G506" s="3" t="s">
        <v>1880</v>
      </c>
      <c r="H506" s="3" t="s">
        <v>16</v>
      </c>
      <c r="I506" s="4" t="s">
        <v>1881</v>
      </c>
      <c r="J506" s="1" t="d">
        <v>2023-12-19</v>
      </c>
      <c r="K506" s="9" t="s">
        <v>20</v>
      </c>
      <c r="L506" s="5">
        <v>58.92</v>
      </c>
      <c r="M506" s="1" t="d">
        <v>2023-12-19</v>
      </c>
      <c r="N506" s="10">
        <v>29.9</v>
      </c>
      <c r="O506" s="9" t="s">
        <v>1882</v>
      </c>
    </row>
    <row r="507" spans="1:15" ht="48" x14ac:dyDescent="0.15">
      <c r="A507" s="1" t="d">
        <v>2024-12-27</v>
      </c>
      <c r="B507" s="3" t="s">
        <v>1883</v>
      </c>
      <c r="C507" s="3" t="s">
        <v>16</v>
      </c>
      <c r="D507" s="4" t="s">
        <v>17</v>
      </c>
      <c r="E507" s="4" t="s">
        <v>18</v>
      </c>
      <c r="F507" s="5">
        <v>9.9</v>
      </c>
      <c r="G507" s="3" t="s">
        <v>16</v>
      </c>
      <c r="H507" s="3" t="s">
        <v>16</v>
      </c>
      <c r="I507" s="4" t="s">
        <v>1884</v>
      </c>
      <c r="J507" s="1" t="d">
        <v>2024-12-27</v>
      </c>
      <c r="K507" s="9" t="s">
        <v>20</v>
      </c>
      <c r="L507" s="5">
        <v>58.76</v>
      </c>
      <c r="M507" s="1" t="d">
        <v>2025-07-30</v>
      </c>
      <c r="N507" s="5">
        <v>4.68</v>
      </c>
      <c r="O507" s="9" t="s">
        <v>1885</v>
      </c>
    </row>
    <row r="508" spans="1:15" ht="24" x14ac:dyDescent="0.15">
      <c r="A508" s="1" t="d">
        <v>2024-10-16</v>
      </c>
      <c r="B508" s="3" t="s">
        <v>1886</v>
      </c>
      <c r="C508" s="3" t="s">
        <v>16</v>
      </c>
      <c r="D508" s="4" t="s">
        <v>17</v>
      </c>
      <c r="E508" s="4" t="s">
        <v>18</v>
      </c>
      <c r="F508" s="6" t="s">
        <v>16</v>
      </c>
      <c r="G508" s="3" t="s">
        <v>1887</v>
      </c>
      <c r="H508" s="3" t="s">
        <v>1888</v>
      </c>
      <c r="I508" s="4" t="s">
        <v>1889</v>
      </c>
      <c r="J508" s="1" t="d">
        <v>2024-10-16</v>
      </c>
      <c r="K508" s="9" t="s">
        <v>20</v>
      </c>
      <c r="L508" s="5">
        <v>58.51</v>
      </c>
      <c r="M508" s="1" t="d">
        <v>2024-10-16</v>
      </c>
      <c r="N508" s="6" t="s">
        <v>16</v>
      </c>
      <c r="O508" s="9" t="s">
        <v>1632</v>
      </c>
    </row>
    <row r="509" spans="1:15" ht="36" x14ac:dyDescent="0.15">
      <c r="A509" s="1" t="d">
        <v>2023-11-13</v>
      </c>
      <c r="B509" s="3" t="s">
        <v>1890</v>
      </c>
      <c r="C509" s="3" t="s">
        <v>16</v>
      </c>
      <c r="D509" s="4" t="s">
        <v>17</v>
      </c>
      <c r="E509" s="4" t="s">
        <v>18</v>
      </c>
      <c r="F509" s="5">
        <v>183.87</v>
      </c>
      <c r="G509" s="3" t="s">
        <v>1891</v>
      </c>
      <c r="H509" s="3" t="s">
        <v>1892</v>
      </c>
      <c r="I509" s="4" t="s">
        <v>1893</v>
      </c>
      <c r="J509" s="1" t="d">
        <v>2023-11-13</v>
      </c>
      <c r="K509" s="9" t="s">
        <v>20</v>
      </c>
      <c r="L509" s="5">
        <v>58.47</v>
      </c>
      <c r="M509" s="1" t="d">
        <v>2024-02-01</v>
      </c>
      <c r="N509" s="6" t="s">
        <v>16</v>
      </c>
      <c r="O509" s="9" t="s">
        <v>1894</v>
      </c>
    </row>
    <row r="510" spans="1:15" ht="24" x14ac:dyDescent="0.15">
      <c r="A510" s="1" t="d">
        <v>2021-11-18</v>
      </c>
      <c r="B510" s="3" t="s">
        <v>1895</v>
      </c>
      <c r="C510" s="3" t="s">
        <v>16</v>
      </c>
      <c r="D510" s="4" t="s">
        <v>17</v>
      </c>
      <c r="E510" s="4" t="s">
        <v>18</v>
      </c>
      <c r="F510" s="5">
        <v>736</v>
      </c>
      <c r="G510" s="3" t="s">
        <v>1896</v>
      </c>
      <c r="H510" s="3" t="s">
        <v>1897</v>
      </c>
      <c r="I510" s="4" t="s">
        <v>1898</v>
      </c>
      <c r="J510" s="1" t="d">
        <v>2021-11-18</v>
      </c>
      <c r="K510" s="9" t="s">
        <v>20</v>
      </c>
      <c r="L510" s="5">
        <v>58.1</v>
      </c>
      <c r="M510" s="1" t="d">
        <v>2021-11-29</v>
      </c>
      <c r="N510" s="6" t="s">
        <v>16</v>
      </c>
      <c r="O510" s="9" t="s">
        <v>1899</v>
      </c>
    </row>
    <row r="511" spans="1:15" ht="24" x14ac:dyDescent="0.15">
      <c r="A511" s="1" t="d">
        <v>2025-10-23</v>
      </c>
      <c r="B511" s="3" t="s">
        <v>1900</v>
      </c>
      <c r="C511" s="3" t="s">
        <v>16</v>
      </c>
      <c r="D511" s="4" t="s">
        <v>17</v>
      </c>
      <c r="E511" s="4" t="s">
        <v>18</v>
      </c>
      <c r="F511" s="6" t="s">
        <v>16</v>
      </c>
      <c r="G511" s="3" t="s">
        <v>1901</v>
      </c>
      <c r="H511" s="3" t="s">
        <v>1902</v>
      </c>
      <c r="I511" s="4" t="s">
        <v>1903</v>
      </c>
      <c r="J511" s="1" t="d">
        <v>2025-10-23</v>
      </c>
      <c r="K511" s="9" t="s">
        <v>20</v>
      </c>
      <c r="L511" s="5">
        <v>58.04</v>
      </c>
      <c r="M511" s="1" t="d">
        <v>2025-11-27</v>
      </c>
      <c r="N511" s="6" t="s">
        <v>16</v>
      </c>
      <c r="O511" s="9" t="s">
        <v>1016</v>
      </c>
    </row>
    <row r="512" spans="1:15" ht="12" x14ac:dyDescent="0.15">
      <c r="A512" s="1" t="d">
        <v>2022-05-17</v>
      </c>
      <c r="B512" s="3" t="s">
        <v>1904</v>
      </c>
      <c r="C512" s="3" t="s">
        <v>16</v>
      </c>
      <c r="D512" s="4" t="s">
        <v>17</v>
      </c>
      <c r="E512" s="4" t="s">
        <v>18</v>
      </c>
      <c r="F512" s="6" t="s">
        <v>16</v>
      </c>
      <c r="G512" s="3" t="s">
        <v>1905</v>
      </c>
      <c r="H512" s="3" t="s">
        <v>16</v>
      </c>
      <c r="I512" s="4" t="s">
        <v>1906</v>
      </c>
      <c r="J512" s="1" t="d">
        <v>2022-05-17</v>
      </c>
      <c r="K512" s="9" t="s">
        <v>20</v>
      </c>
      <c r="L512" s="5">
        <v>58</v>
      </c>
      <c r="M512" s="1" t="d">
        <v>2022-05-17</v>
      </c>
      <c r="N512" s="6" t="s">
        <v>16</v>
      </c>
      <c r="O512" s="9" t="s">
        <v>633</v>
      </c>
    </row>
    <row r="513" spans="1:15" ht="12" x14ac:dyDescent="0.15">
      <c r="A513" s="1" t="d">
        <v>2021-12-14</v>
      </c>
      <c r="B513" s="3" t="s">
        <v>1907</v>
      </c>
      <c r="C513" s="3" t="s">
        <v>16</v>
      </c>
      <c r="D513" s="4" t="s">
        <v>17</v>
      </c>
      <c r="E513" s="4" t="s">
        <v>18</v>
      </c>
      <c r="F513" s="5">
        <v>87.3</v>
      </c>
      <c r="G513" s="3" t="s">
        <v>1908</v>
      </c>
      <c r="H513" s="3" t="s">
        <v>16</v>
      </c>
      <c r="I513" s="4" t="s">
        <v>1909</v>
      </c>
      <c r="J513" s="1" t="d">
        <v>2021-12-14</v>
      </c>
      <c r="K513" s="9" t="s">
        <v>20</v>
      </c>
      <c r="L513" s="5">
        <v>58</v>
      </c>
      <c r="M513" s="1" t="d">
        <v>2021-12-14</v>
      </c>
      <c r="N513" s="6" t="s">
        <v>16</v>
      </c>
      <c r="O513" s="9" t="s">
        <v>40</v>
      </c>
    </row>
    <row r="514" spans="1:15" ht="24" x14ac:dyDescent="0.15">
      <c r="A514" s="1" t="d">
        <v>2022-12-01</v>
      </c>
      <c r="B514" s="3" t="s">
        <v>1910</v>
      </c>
      <c r="C514" s="3" t="s">
        <v>1911</v>
      </c>
      <c r="D514" s="4" t="s">
        <v>17</v>
      </c>
      <c r="E514" s="4" t="s">
        <v>18</v>
      </c>
      <c r="F514" s="5">
        <v>1.48</v>
      </c>
      <c r="G514" s="3" t="s">
        <v>1912</v>
      </c>
      <c r="H514" s="3" t="s">
        <v>16</v>
      </c>
      <c r="I514" s="4" t="s">
        <v>1913</v>
      </c>
      <c r="J514" s="1" t="d">
        <v>2022-12-01</v>
      </c>
      <c r="K514" s="9" t="s">
        <v>20</v>
      </c>
      <c r="L514" s="5">
        <v>57.92</v>
      </c>
      <c r="M514" s="1" t="d">
        <v>2023-01-11</v>
      </c>
      <c r="N514" s="5">
        <v>8.6199999999999992</v>
      </c>
      <c r="O514" s="9" t="s">
        <v>65</v>
      </c>
    </row>
    <row r="515" spans="1:15" ht="36" x14ac:dyDescent="0.15">
      <c r="A515" s="1" t="d">
        <v>2023-06-08</v>
      </c>
      <c r="B515" s="3" t="s">
        <v>1914</v>
      </c>
      <c r="C515" s="3" t="s">
        <v>16</v>
      </c>
      <c r="D515" s="4" t="s">
        <v>17</v>
      </c>
      <c r="E515" s="4" t="s">
        <v>18</v>
      </c>
      <c r="F515" s="5">
        <v>78.900000000000006</v>
      </c>
      <c r="G515" s="3" t="s">
        <v>1915</v>
      </c>
      <c r="H515" s="3" t="s">
        <v>1916</v>
      </c>
      <c r="I515" s="4" t="s">
        <v>1917</v>
      </c>
      <c r="J515" s="1" t="d">
        <v>2023-06-08</v>
      </c>
      <c r="K515" s="9" t="s">
        <v>20</v>
      </c>
      <c r="L515" s="5">
        <v>57.67</v>
      </c>
      <c r="M515" s="1" t="d">
        <v>2023-08-09</v>
      </c>
      <c r="N515" s="6" t="s">
        <v>16</v>
      </c>
      <c r="O515" s="9" t="s">
        <v>40</v>
      </c>
    </row>
    <row r="516" spans="1:15" ht="24" x14ac:dyDescent="0.15">
      <c r="A516" s="1" t="d">
        <v>2025-02-13</v>
      </c>
      <c r="B516" s="3" t="s">
        <v>1918</v>
      </c>
      <c r="C516" s="3" t="s">
        <v>16</v>
      </c>
      <c r="D516" s="4" t="s">
        <v>17</v>
      </c>
      <c r="E516" s="4" t="s">
        <v>18</v>
      </c>
      <c r="F516" s="5">
        <v>273.17</v>
      </c>
      <c r="G516" s="3" t="s">
        <v>277</v>
      </c>
      <c r="H516" s="3" t="s">
        <v>1919</v>
      </c>
      <c r="I516" s="4" t="s">
        <v>1920</v>
      </c>
      <c r="J516" s="1" t="d">
        <v>2025-02-13</v>
      </c>
      <c r="K516" s="9" t="s">
        <v>20</v>
      </c>
      <c r="L516" s="5">
        <v>57.65</v>
      </c>
      <c r="M516" s="1" t="d">
        <v>2025-03-31</v>
      </c>
      <c r="N516" s="5">
        <v>4.2300000000000004</v>
      </c>
      <c r="O516" s="9" t="s">
        <v>1921</v>
      </c>
    </row>
    <row r="517" spans="1:15" ht="12" x14ac:dyDescent="0.15">
      <c r="A517" s="1" t="d">
        <v>2023-12-26</v>
      </c>
      <c r="B517" s="3" t="s">
        <v>1922</v>
      </c>
      <c r="C517" s="3" t="s">
        <v>16</v>
      </c>
      <c r="D517" s="4" t="s">
        <v>17</v>
      </c>
      <c r="E517" s="4" t="s">
        <v>18</v>
      </c>
      <c r="F517" s="5">
        <v>184.26</v>
      </c>
      <c r="G517" s="3" t="s">
        <v>1923</v>
      </c>
      <c r="H517" s="3" t="s">
        <v>1924</v>
      </c>
      <c r="I517" s="4" t="s">
        <v>1925</v>
      </c>
      <c r="J517" s="1" t="d">
        <v>2023-12-26</v>
      </c>
      <c r="K517" s="9" t="s">
        <v>20</v>
      </c>
      <c r="L517" s="5">
        <v>57.18</v>
      </c>
      <c r="M517" s="1" t="d">
        <v>2024-01-12</v>
      </c>
      <c r="N517" s="7">
        <v>4.0000000000000001E-3</v>
      </c>
      <c r="O517" s="9" t="s">
        <v>40</v>
      </c>
    </row>
    <row r="518" spans="1:15" ht="12" x14ac:dyDescent="0.15">
      <c r="A518" s="1" t="d">
        <v>2021-09-02</v>
      </c>
      <c r="B518" s="3" t="s">
        <v>1926</v>
      </c>
      <c r="C518" s="3" t="s">
        <v>16</v>
      </c>
      <c r="D518" s="4" t="s">
        <v>17</v>
      </c>
      <c r="E518" s="4" t="s">
        <v>18</v>
      </c>
      <c r="F518" s="6" t="s">
        <v>16</v>
      </c>
      <c r="G518" s="3" t="s">
        <v>1927</v>
      </c>
      <c r="H518" s="3" t="s">
        <v>1928</v>
      </c>
      <c r="I518" s="4" t="s">
        <v>1929</v>
      </c>
      <c r="J518" s="1" t="d">
        <v>2021-09-02</v>
      </c>
      <c r="K518" s="9" t="s">
        <v>20</v>
      </c>
      <c r="L518" s="5">
        <v>57.18</v>
      </c>
      <c r="M518" s="1" t="d">
        <v>2021-09-02</v>
      </c>
      <c r="N518" s="5">
        <v>-9.25</v>
      </c>
      <c r="O518" s="9" t="s">
        <v>633</v>
      </c>
    </row>
    <row r="519" spans="1:15" ht="48" x14ac:dyDescent="0.15">
      <c r="A519" s="1" t="d">
        <v>2024-05-14</v>
      </c>
      <c r="B519" s="3" t="s">
        <v>1930</v>
      </c>
      <c r="C519" s="3" t="s">
        <v>16</v>
      </c>
      <c r="D519" s="4" t="s">
        <v>17</v>
      </c>
      <c r="E519" s="4" t="s">
        <v>18</v>
      </c>
      <c r="F519" s="5">
        <v>390.74</v>
      </c>
      <c r="G519" s="3" t="s">
        <v>1931</v>
      </c>
      <c r="H519" s="3" t="s">
        <v>1932</v>
      </c>
      <c r="I519" s="4" t="s">
        <v>1933</v>
      </c>
      <c r="J519" s="1" t="d">
        <v>2024-05-14</v>
      </c>
      <c r="K519" s="9" t="s">
        <v>20</v>
      </c>
      <c r="L519" s="5">
        <v>56.66</v>
      </c>
      <c r="M519" s="1" t="d">
        <v>2024-09-23</v>
      </c>
      <c r="N519" s="5">
        <v>-6.25</v>
      </c>
      <c r="O519" s="9" t="s">
        <v>101</v>
      </c>
    </row>
    <row r="520" spans="1:15" ht="12" x14ac:dyDescent="0.15">
      <c r="A520" s="1" t="d">
        <v>2024-04-02</v>
      </c>
      <c r="B520" s="3" t="s">
        <v>1934</v>
      </c>
      <c r="C520" s="3" t="s">
        <v>1935</v>
      </c>
      <c r="D520" s="4" t="s">
        <v>17</v>
      </c>
      <c r="E520" s="4" t="s">
        <v>18</v>
      </c>
      <c r="F520" s="6" t="s">
        <v>16</v>
      </c>
      <c r="G520" s="3" t="s">
        <v>1936</v>
      </c>
      <c r="H520" s="3" t="s">
        <v>16</v>
      </c>
      <c r="I520" s="4" t="s">
        <v>1937</v>
      </c>
      <c r="J520" s="1" t="d">
        <v>2024-04-02</v>
      </c>
      <c r="K520" s="9" t="s">
        <v>20</v>
      </c>
      <c r="L520" s="5">
        <v>56.52</v>
      </c>
      <c r="M520" s="1" t="d">
        <v>2024-04-01</v>
      </c>
      <c r="N520" s="5">
        <v>4.57</v>
      </c>
      <c r="O520" s="9" t="s">
        <v>50</v>
      </c>
    </row>
    <row r="521" spans="1:15" ht="12" x14ac:dyDescent="0.15">
      <c r="A521" s="1" t="d">
        <v>2022-08-08</v>
      </c>
      <c r="B521" s="3" t="s">
        <v>1938</v>
      </c>
      <c r="C521" s="3" t="s">
        <v>16</v>
      </c>
      <c r="D521" s="4" t="s">
        <v>17</v>
      </c>
      <c r="E521" s="4" t="s">
        <v>18</v>
      </c>
      <c r="F521" s="5">
        <v>18.440000000000001</v>
      </c>
      <c r="G521" s="3" t="s">
        <v>1939</v>
      </c>
      <c r="H521" s="3" t="s">
        <v>16</v>
      </c>
      <c r="I521" s="4" t="s">
        <v>1940</v>
      </c>
      <c r="J521" s="1" t="d">
        <v>2022-08-08</v>
      </c>
      <c r="K521" s="9" t="s">
        <v>20</v>
      </c>
      <c r="L521" s="5">
        <v>56.44</v>
      </c>
      <c r="M521" s="1" t="d">
        <v>2022-11-09</v>
      </c>
      <c r="N521" s="6" t="s">
        <v>16</v>
      </c>
      <c r="O521" s="9" t="s">
        <v>40</v>
      </c>
    </row>
    <row r="522" spans="1:15" ht="12" x14ac:dyDescent="0.15">
      <c r="A522" s="1" t="d">
        <v>2026-01-06</v>
      </c>
      <c r="B522" s="3" t="s">
        <v>1941</v>
      </c>
      <c r="C522" s="3" t="s">
        <v>16</v>
      </c>
      <c r="D522" s="4" t="s">
        <v>17</v>
      </c>
      <c r="E522" s="4" t="s">
        <v>18</v>
      </c>
      <c r="F522" s="5">
        <v>998.92</v>
      </c>
      <c r="G522" s="3" t="s">
        <v>1942</v>
      </c>
      <c r="H522" s="3" t="s">
        <v>1943</v>
      </c>
      <c r="I522" s="4" t="s">
        <v>1944</v>
      </c>
      <c r="J522" s="1" t="d">
        <v>2026-01-06</v>
      </c>
      <c r="K522" s="9" t="s">
        <v>20</v>
      </c>
      <c r="L522" s="5">
        <v>56.29</v>
      </c>
      <c r="M522" s="1" t="d">
        <v>2026-03-16</v>
      </c>
      <c r="N522" s="6" t="s">
        <v>16</v>
      </c>
      <c r="O522" s="9" t="s">
        <v>101</v>
      </c>
    </row>
    <row r="523" spans="1:15" ht="24" x14ac:dyDescent="0.15">
      <c r="A523" s="1" t="d">
        <v>2025-07-04</v>
      </c>
      <c r="B523" s="3" t="s">
        <v>1945</v>
      </c>
      <c r="C523" s="3" t="s">
        <v>16</v>
      </c>
      <c r="D523" s="4" t="s">
        <v>17</v>
      </c>
      <c r="E523" s="4" t="s">
        <v>18</v>
      </c>
      <c r="F523" s="5">
        <v>243.05</v>
      </c>
      <c r="G523" s="3" t="s">
        <v>1946</v>
      </c>
      <c r="H523" s="3" t="s">
        <v>1947</v>
      </c>
      <c r="I523" s="4" t="s">
        <v>1948</v>
      </c>
      <c r="J523" s="1" t="d">
        <v>2025-07-04</v>
      </c>
      <c r="K523" s="9" t="s">
        <v>20</v>
      </c>
      <c r="L523" s="5">
        <v>55.58</v>
      </c>
      <c r="M523" s="1" t="d">
        <v>2025-10-17</v>
      </c>
      <c r="N523" s="5">
        <v>9.7799999999999994</v>
      </c>
      <c r="O523" s="9" t="s">
        <v>427</v>
      </c>
    </row>
    <row r="524" spans="1:15" ht="12" x14ac:dyDescent="0.15">
      <c r="A524" s="1" t="d">
        <v>2024-11-14</v>
      </c>
      <c r="B524" s="3" t="s">
        <v>1949</v>
      </c>
      <c r="C524" s="3" t="s">
        <v>16</v>
      </c>
      <c r="D524" s="4" t="s">
        <v>17</v>
      </c>
      <c r="E524" s="4" t="s">
        <v>18</v>
      </c>
      <c r="F524" s="6" t="s">
        <v>16</v>
      </c>
      <c r="G524" s="3" t="s">
        <v>1950</v>
      </c>
      <c r="H524" s="3" t="s">
        <v>16</v>
      </c>
      <c r="I524" s="4" t="s">
        <v>1951</v>
      </c>
      <c r="J524" s="1" t="d">
        <v>2024-11-14</v>
      </c>
      <c r="K524" s="9" t="s">
        <v>20</v>
      </c>
      <c r="L524" s="5">
        <v>55.01</v>
      </c>
      <c r="M524" s="1" t="d">
        <v>2024-11-14</v>
      </c>
      <c r="N524" s="6" t="s">
        <v>16</v>
      </c>
      <c r="O524" s="9" t="s">
        <v>139</v>
      </c>
    </row>
    <row r="525" spans="1:15" ht="12" x14ac:dyDescent="0.15">
      <c r="A525" s="1" t="d">
        <v>2025-09-30</v>
      </c>
      <c r="B525" s="3" t="s">
        <v>1952</v>
      </c>
      <c r="C525" s="3" t="s">
        <v>16</v>
      </c>
      <c r="D525" s="4" t="s">
        <v>17</v>
      </c>
      <c r="E525" s="4" t="s">
        <v>18</v>
      </c>
      <c r="F525" s="6" t="s">
        <v>16</v>
      </c>
      <c r="G525" s="3" t="s">
        <v>1953</v>
      </c>
      <c r="H525" s="3" t="s">
        <v>16</v>
      </c>
      <c r="I525" s="4" t="s">
        <v>1954</v>
      </c>
      <c r="J525" s="1" t="d">
        <v>2025-09-30</v>
      </c>
      <c r="K525" s="9" t="s">
        <v>20</v>
      </c>
      <c r="L525" s="5">
        <v>54.92</v>
      </c>
      <c r="M525" s="1" t="d">
        <v>2025-09-30</v>
      </c>
      <c r="N525" s="6" t="s">
        <v>16</v>
      </c>
      <c r="O525" s="9" t="s">
        <v>633</v>
      </c>
    </row>
    <row r="526" spans="1:15" ht="48" x14ac:dyDescent="0.15">
      <c r="A526" s="1" t="d">
        <v>2025-10-03</v>
      </c>
      <c r="B526" s="3" t="s">
        <v>1955</v>
      </c>
      <c r="C526" s="3" t="s">
        <v>16</v>
      </c>
      <c r="D526" s="4" t="s">
        <v>17</v>
      </c>
      <c r="E526" s="4" t="s">
        <v>18</v>
      </c>
      <c r="F526" s="5">
        <v>31.88</v>
      </c>
      <c r="G526" s="3" t="s">
        <v>1956</v>
      </c>
      <c r="H526" s="3" t="s">
        <v>16</v>
      </c>
      <c r="I526" s="4" t="s">
        <v>1957</v>
      </c>
      <c r="J526" s="1" t="d">
        <v>2025-10-03</v>
      </c>
      <c r="K526" s="9" t="s">
        <v>20</v>
      </c>
      <c r="L526" s="5">
        <v>54.7</v>
      </c>
      <c r="M526" s="1" t="d">
        <v>2025-12-05</v>
      </c>
      <c r="N526" s="5">
        <v>7.12</v>
      </c>
      <c r="O526" s="9" t="s">
        <v>241</v>
      </c>
    </row>
    <row r="527" spans="1:15" ht="12" x14ac:dyDescent="0.15">
      <c r="A527" s="1" t="d">
        <v>2021-10-18</v>
      </c>
      <c r="B527" s="3" t="s">
        <v>1334</v>
      </c>
      <c r="C527" s="3" t="s">
        <v>16</v>
      </c>
      <c r="D527" s="4" t="s">
        <v>17</v>
      </c>
      <c r="E527" s="4" t="s">
        <v>18</v>
      </c>
      <c r="F527" s="5">
        <v>24.68</v>
      </c>
      <c r="G527" s="3" t="s">
        <v>16</v>
      </c>
      <c r="H527" s="3" t="s">
        <v>382</v>
      </c>
      <c r="I527" s="4" t="s">
        <v>1958</v>
      </c>
      <c r="J527" s="1" t="d">
        <v>2021-10-18</v>
      </c>
      <c r="K527" s="9" t="s">
        <v>20</v>
      </c>
      <c r="L527" s="5">
        <v>54.67</v>
      </c>
      <c r="M527" s="1" t="d">
        <v>2021-10-18</v>
      </c>
      <c r="N527" s="5">
        <v>2.91</v>
      </c>
      <c r="O527" s="9" t="s">
        <v>50</v>
      </c>
    </row>
    <row r="528" spans="1:15" ht="12" x14ac:dyDescent="0.15">
      <c r="A528" s="1" t="d">
        <v>2024-03-20</v>
      </c>
      <c r="B528" s="3" t="s">
        <v>1959</v>
      </c>
      <c r="C528" s="3" t="s">
        <v>16</v>
      </c>
      <c r="D528" s="4" t="s">
        <v>17</v>
      </c>
      <c r="E528" s="4" t="s">
        <v>18</v>
      </c>
      <c r="F528" s="6" t="s">
        <v>16</v>
      </c>
      <c r="G528" s="3" t="s">
        <v>1960</v>
      </c>
      <c r="H528" s="3" t="s">
        <v>16</v>
      </c>
      <c r="I528" s="4" t="s">
        <v>1961</v>
      </c>
      <c r="J528" s="1" t="d">
        <v>2024-03-20</v>
      </c>
      <c r="K528" s="9" t="s">
        <v>20</v>
      </c>
      <c r="L528" s="5">
        <v>54.28</v>
      </c>
      <c r="M528" s="1" t="d">
        <v>2024-03-20</v>
      </c>
      <c r="N528" s="6" t="s">
        <v>16</v>
      </c>
      <c r="O528" s="9" t="s">
        <v>139</v>
      </c>
    </row>
    <row r="529" spans="1:15" ht="24" x14ac:dyDescent="0.15">
      <c r="A529" s="1" t="d">
        <v>2024-03-25</v>
      </c>
      <c r="B529" s="3" t="s">
        <v>1962</v>
      </c>
      <c r="C529" s="3" t="s">
        <v>16</v>
      </c>
      <c r="D529" s="4" t="s">
        <v>17</v>
      </c>
      <c r="E529" s="4" t="s">
        <v>18</v>
      </c>
      <c r="F529" s="6" t="s">
        <v>16</v>
      </c>
      <c r="G529" s="3" t="s">
        <v>1963</v>
      </c>
      <c r="H529" s="3" t="s">
        <v>16</v>
      </c>
      <c r="I529" s="4" t="s">
        <v>1964</v>
      </c>
      <c r="J529" s="1" t="d">
        <v>2024-03-25</v>
      </c>
      <c r="K529" s="9" t="s">
        <v>20</v>
      </c>
      <c r="L529" s="5">
        <v>54.18</v>
      </c>
      <c r="M529" s="1" t="d">
        <v>2024-09-05</v>
      </c>
      <c r="N529" s="6" t="s">
        <v>16</v>
      </c>
      <c r="O529" s="9" t="s">
        <v>633</v>
      </c>
    </row>
    <row r="530" spans="1:15" ht="84" x14ac:dyDescent="0.15">
      <c r="A530" s="1" t="d">
        <v>2024-02-16</v>
      </c>
      <c r="B530" s="3" t="s">
        <v>1965</v>
      </c>
      <c r="C530" s="3" t="s">
        <v>16</v>
      </c>
      <c r="D530" s="4" t="s">
        <v>17</v>
      </c>
      <c r="E530" s="4" t="s">
        <v>18</v>
      </c>
      <c r="F530" s="5">
        <v>64.790000000000006</v>
      </c>
      <c r="G530" s="3" t="s">
        <v>1821</v>
      </c>
      <c r="H530" s="3" t="s">
        <v>1966</v>
      </c>
      <c r="I530" s="4" t="s">
        <v>1967</v>
      </c>
      <c r="J530" s="1" t="d">
        <v>2024-02-16</v>
      </c>
      <c r="K530" s="9" t="s">
        <v>20</v>
      </c>
      <c r="L530" s="5">
        <v>53.92</v>
      </c>
      <c r="M530" s="1" t="d">
        <v>2024-09-10</v>
      </c>
      <c r="N530" s="6" t="s">
        <v>16</v>
      </c>
      <c r="O530" s="9" t="s">
        <v>1968</v>
      </c>
    </row>
    <row r="531" spans="1:15" ht="24" x14ac:dyDescent="0.15">
      <c r="A531" s="1" t="d">
        <v>2021-12-24</v>
      </c>
      <c r="B531" s="3" t="s">
        <v>1969</v>
      </c>
      <c r="C531" s="3" t="s">
        <v>16</v>
      </c>
      <c r="D531" s="4" t="s">
        <v>17</v>
      </c>
      <c r="E531" s="4" t="s">
        <v>18</v>
      </c>
      <c r="F531" s="5">
        <v>53.62</v>
      </c>
      <c r="G531" s="3" t="s">
        <v>1970</v>
      </c>
      <c r="H531" s="3" t="s">
        <v>1482</v>
      </c>
      <c r="I531" s="4" t="s">
        <v>1971</v>
      </c>
      <c r="J531" s="1" t="d">
        <v>2021-12-24</v>
      </c>
      <c r="K531" s="9" t="s">
        <v>20</v>
      </c>
      <c r="L531" s="5">
        <v>53.62</v>
      </c>
      <c r="M531" s="1" t="d">
        <v>2022-01-01</v>
      </c>
      <c r="N531" s="12">
        <v>0</v>
      </c>
      <c r="O531" s="9" t="s">
        <v>1972</v>
      </c>
    </row>
    <row r="532" spans="1:15" ht="36" x14ac:dyDescent="0.15">
      <c r="A532" s="1" t="d">
        <v>2024-10-15</v>
      </c>
      <c r="B532" s="3" t="s">
        <v>1973</v>
      </c>
      <c r="C532" s="3" t="s">
        <v>16</v>
      </c>
      <c r="D532" s="4" t="s">
        <v>17</v>
      </c>
      <c r="E532" s="4" t="s">
        <v>18</v>
      </c>
      <c r="F532" s="5">
        <v>67.61</v>
      </c>
      <c r="G532" s="3" t="s">
        <v>1974</v>
      </c>
      <c r="H532" s="3" t="s">
        <v>16</v>
      </c>
      <c r="I532" s="4" t="s">
        <v>1975</v>
      </c>
      <c r="J532" s="1" t="d">
        <v>2024-10-15</v>
      </c>
      <c r="K532" s="9" t="s">
        <v>20</v>
      </c>
      <c r="L532" s="5">
        <v>53.44</v>
      </c>
      <c r="M532" s="1" t="d">
        <v>2024-10-30</v>
      </c>
      <c r="N532" s="5">
        <v>1.02</v>
      </c>
      <c r="O532" s="9" t="s">
        <v>1734</v>
      </c>
    </row>
    <row r="533" spans="1:15" ht="12" x14ac:dyDescent="0.15">
      <c r="A533" s="1" t="d">
        <v>2026-02-11</v>
      </c>
      <c r="B533" s="3" t="s">
        <v>1976</v>
      </c>
      <c r="C533" s="3" t="s">
        <v>16</v>
      </c>
      <c r="D533" s="4" t="s">
        <v>17</v>
      </c>
      <c r="E533" s="4" t="s">
        <v>18</v>
      </c>
      <c r="F533" s="6" t="s">
        <v>16</v>
      </c>
      <c r="G533" s="3" t="s">
        <v>1499</v>
      </c>
      <c r="H533" s="3" t="s">
        <v>16</v>
      </c>
      <c r="I533" s="4" t="s">
        <v>1977</v>
      </c>
      <c r="J533" s="1" t="d">
        <v>2026-02-11</v>
      </c>
      <c r="K533" s="9" t="s">
        <v>20</v>
      </c>
      <c r="L533" s="5">
        <v>53.39</v>
      </c>
      <c r="M533" s="1" t="d">
        <v>2026-02-11</v>
      </c>
      <c r="N533" s="5">
        <v>9.76</v>
      </c>
      <c r="O533" s="9" t="s">
        <v>633</v>
      </c>
    </row>
    <row r="534" spans="1:15" ht="12" x14ac:dyDescent="0.15">
      <c r="A534" s="1" t="d">
        <v>2023-02-21</v>
      </c>
      <c r="B534" s="3" t="s">
        <v>1978</v>
      </c>
      <c r="C534" s="3" t="s">
        <v>16</v>
      </c>
      <c r="D534" s="4" t="s">
        <v>17</v>
      </c>
      <c r="E534" s="4" t="s">
        <v>18</v>
      </c>
      <c r="F534" s="6" t="s">
        <v>16</v>
      </c>
      <c r="G534" s="3" t="s">
        <v>1979</v>
      </c>
      <c r="H534" s="3" t="s">
        <v>1980</v>
      </c>
      <c r="I534" s="4" t="s">
        <v>1981</v>
      </c>
      <c r="J534" s="1" t="d">
        <v>2023-02-21</v>
      </c>
      <c r="K534" s="9" t="s">
        <v>20</v>
      </c>
      <c r="L534" s="5">
        <v>53.36</v>
      </c>
      <c r="M534" s="1" t="d">
        <v>2023-02-21</v>
      </c>
      <c r="N534" s="10">
        <v>19</v>
      </c>
      <c r="O534" s="9" t="s">
        <v>633</v>
      </c>
    </row>
    <row r="535" spans="1:15" ht="36" x14ac:dyDescent="0.15">
      <c r="A535" s="1" t="d">
        <v>2024-10-11</v>
      </c>
      <c r="B535" s="3" t="s">
        <v>1982</v>
      </c>
      <c r="C535" s="3" t="s">
        <v>16</v>
      </c>
      <c r="D535" s="4" t="s">
        <v>17</v>
      </c>
      <c r="E535" s="4" t="s">
        <v>18</v>
      </c>
      <c r="F535" s="5">
        <v>123.35</v>
      </c>
      <c r="G535" s="3" t="s">
        <v>654</v>
      </c>
      <c r="H535" s="3" t="s">
        <v>1983</v>
      </c>
      <c r="I535" s="4" t="s">
        <v>1984</v>
      </c>
      <c r="J535" s="1" t="d">
        <v>2024-10-11</v>
      </c>
      <c r="K535" s="9" t="s">
        <v>20</v>
      </c>
      <c r="L535" s="5">
        <v>53.26</v>
      </c>
      <c r="M535" s="1" t="d">
        <v>2024-10-11</v>
      </c>
      <c r="N535" s="6" t="s">
        <v>16</v>
      </c>
      <c r="O535" s="9" t="s">
        <v>61</v>
      </c>
    </row>
    <row r="536" spans="1:15" ht="24" x14ac:dyDescent="0.15">
      <c r="A536" s="1" t="d">
        <v>2022-06-13</v>
      </c>
      <c r="B536" s="3" t="s">
        <v>1985</v>
      </c>
      <c r="C536" s="3" t="s">
        <v>16</v>
      </c>
      <c r="D536" s="4" t="s">
        <v>17</v>
      </c>
      <c r="E536" s="4" t="s">
        <v>18</v>
      </c>
      <c r="F536" s="5">
        <v>4.0999999999999996</v>
      </c>
      <c r="G536" s="3" t="s">
        <v>330</v>
      </c>
      <c r="H536" s="3" t="s">
        <v>16</v>
      </c>
      <c r="I536" s="4" t="s">
        <v>1986</v>
      </c>
      <c r="J536" s="1" t="d">
        <v>2022-06-13</v>
      </c>
      <c r="K536" s="9" t="s">
        <v>20</v>
      </c>
      <c r="L536" s="5">
        <v>53</v>
      </c>
      <c r="M536" s="1" t="d">
        <v>2022-06-13</v>
      </c>
      <c r="N536" s="5">
        <v>4.47</v>
      </c>
      <c r="O536" s="9" t="s">
        <v>1987</v>
      </c>
    </row>
    <row r="537" spans="1:15" ht="24" x14ac:dyDescent="0.15">
      <c r="A537" s="1" t="d">
        <v>2022-03-18</v>
      </c>
      <c r="B537" s="3" t="s">
        <v>1988</v>
      </c>
      <c r="C537" s="3" t="s">
        <v>16</v>
      </c>
      <c r="D537" s="4" t="s">
        <v>17</v>
      </c>
      <c r="E537" s="4" t="s">
        <v>18</v>
      </c>
      <c r="F537" s="5">
        <v>638.29999999999995</v>
      </c>
      <c r="G537" s="3" t="s">
        <v>1989</v>
      </c>
      <c r="H537" s="3" t="s">
        <v>1990</v>
      </c>
      <c r="I537" s="4" t="s">
        <v>1991</v>
      </c>
      <c r="J537" s="1" t="d">
        <v>2022-03-18</v>
      </c>
      <c r="K537" s="9" t="s">
        <v>20</v>
      </c>
      <c r="L537" s="5">
        <v>53</v>
      </c>
      <c r="M537" s="1" t="d">
        <v>2022-05-02</v>
      </c>
      <c r="N537" s="6" t="s">
        <v>16</v>
      </c>
      <c r="O537" s="9" t="s">
        <v>364</v>
      </c>
    </row>
    <row r="538" spans="1:15" ht="48" x14ac:dyDescent="0.15">
      <c r="A538" s="1" t="d">
        <v>2022-05-09</v>
      </c>
      <c r="B538" s="3" t="s">
        <v>1992</v>
      </c>
      <c r="C538" s="3" t="s">
        <v>16</v>
      </c>
      <c r="D538" s="4" t="s">
        <v>17</v>
      </c>
      <c r="E538" s="4" t="s">
        <v>18</v>
      </c>
      <c r="F538" s="5">
        <v>26.03</v>
      </c>
      <c r="G538" s="3" t="s">
        <v>16</v>
      </c>
      <c r="H538" s="3" t="s">
        <v>16</v>
      </c>
      <c r="I538" s="4" t="s">
        <v>1993</v>
      </c>
      <c r="J538" s="1" t="d">
        <v>2022-05-09</v>
      </c>
      <c r="K538" s="9" t="s">
        <v>20</v>
      </c>
      <c r="L538" s="5">
        <v>52.87</v>
      </c>
      <c r="M538" s="1" t="d">
        <v>2022-12-21</v>
      </c>
      <c r="N538" s="6" t="s">
        <v>16</v>
      </c>
      <c r="O538" s="9" t="s">
        <v>1994</v>
      </c>
    </row>
    <row r="539" spans="1:15" ht="24" x14ac:dyDescent="0.15">
      <c r="A539" s="1" t="d">
        <v>2024-12-23</v>
      </c>
      <c r="B539" s="3" t="s">
        <v>1995</v>
      </c>
      <c r="C539" s="3" t="s">
        <v>16</v>
      </c>
      <c r="D539" s="4" t="s">
        <v>17</v>
      </c>
      <c r="E539" s="4" t="s">
        <v>18</v>
      </c>
      <c r="F539" s="6" t="s">
        <v>16</v>
      </c>
      <c r="G539" s="3" t="s">
        <v>16</v>
      </c>
      <c r="H539" s="3" t="s">
        <v>16</v>
      </c>
      <c r="I539" s="4" t="s">
        <v>1996</v>
      </c>
      <c r="J539" s="1" t="d">
        <v>2024-12-23</v>
      </c>
      <c r="K539" s="9" t="s">
        <v>20</v>
      </c>
      <c r="L539" s="5">
        <v>52.36</v>
      </c>
      <c r="M539" s="1" t="d">
        <v>2024-12-23</v>
      </c>
      <c r="N539" s="6" t="s">
        <v>16</v>
      </c>
      <c r="O539" s="9" t="s">
        <v>1132</v>
      </c>
    </row>
    <row r="540" spans="1:15" ht="12" x14ac:dyDescent="0.15">
      <c r="A540" s="1" t="d">
        <v>2021-11-08</v>
      </c>
      <c r="B540" s="3" t="s">
        <v>1997</v>
      </c>
      <c r="C540" s="3" t="s">
        <v>16</v>
      </c>
      <c r="D540" s="4" t="s">
        <v>17</v>
      </c>
      <c r="E540" s="4" t="s">
        <v>18</v>
      </c>
      <c r="F540" s="5">
        <v>51.5</v>
      </c>
      <c r="G540" s="3" t="s">
        <v>1998</v>
      </c>
      <c r="H540" s="3" t="s">
        <v>1999</v>
      </c>
      <c r="I540" s="4" t="s">
        <v>2000</v>
      </c>
      <c r="J540" s="1" t="d">
        <v>2021-11-08</v>
      </c>
      <c r="K540" s="9" t="s">
        <v>20</v>
      </c>
      <c r="L540" s="5">
        <v>52.2</v>
      </c>
      <c r="M540" s="1" t="d">
        <v>2021-11-22</v>
      </c>
      <c r="N540" s="6" t="s">
        <v>16</v>
      </c>
      <c r="O540" s="9" t="s">
        <v>381</v>
      </c>
    </row>
    <row r="541" spans="1:15" ht="24" x14ac:dyDescent="0.15">
      <c r="A541" s="1" t="d">
        <v>2026-01-06</v>
      </c>
      <c r="B541" s="3" t="s">
        <v>2001</v>
      </c>
      <c r="C541" s="3" t="s">
        <v>16</v>
      </c>
      <c r="D541" s="4" t="s">
        <v>17</v>
      </c>
      <c r="E541" s="4" t="s">
        <v>18</v>
      </c>
      <c r="F541" s="6" t="s">
        <v>16</v>
      </c>
      <c r="G541" s="3" t="s">
        <v>2002</v>
      </c>
      <c r="H541" s="3" t="s">
        <v>2003</v>
      </c>
      <c r="I541" s="4" t="s">
        <v>2004</v>
      </c>
      <c r="J541" s="1" t="d">
        <v>2026-01-06</v>
      </c>
      <c r="K541" s="9" t="s">
        <v>20</v>
      </c>
      <c r="L541" s="5">
        <v>52</v>
      </c>
      <c r="M541" s="1" t="d">
        <v>2025-12-30</v>
      </c>
      <c r="N541" s="6" t="s">
        <v>16</v>
      </c>
      <c r="O541" s="9" t="s">
        <v>1632</v>
      </c>
    </row>
    <row r="542" spans="1:15" ht="48" x14ac:dyDescent="0.15">
      <c r="A542" s="1" t="d">
        <v>2026-01-06</v>
      </c>
      <c r="B542" s="3" t="s">
        <v>2005</v>
      </c>
      <c r="C542" s="3" t="s">
        <v>2006</v>
      </c>
      <c r="D542" s="4" t="s">
        <v>17</v>
      </c>
      <c r="E542" s="4" t="s">
        <v>18</v>
      </c>
      <c r="F542" s="5">
        <v>20.100000000000001</v>
      </c>
      <c r="G542" s="3" t="s">
        <v>2007</v>
      </c>
      <c r="H542" s="3" t="s">
        <v>2008</v>
      </c>
      <c r="I542" s="4" t="s">
        <v>2009</v>
      </c>
      <c r="J542" s="1" t="d">
        <v>2026-01-06</v>
      </c>
      <c r="K542" s="9" t="s">
        <v>20</v>
      </c>
      <c r="L542" s="5">
        <v>51.79</v>
      </c>
      <c r="M542" s="1" t="d">
        <v>2026-01-05</v>
      </c>
      <c r="N542" s="5">
        <v>-3.52</v>
      </c>
      <c r="O542" s="9" t="s">
        <v>50</v>
      </c>
    </row>
    <row r="543" spans="1:15" ht="48" x14ac:dyDescent="0.15">
      <c r="A543" s="1" t="d">
        <v>2024-05-20</v>
      </c>
      <c r="B543" s="3" t="s">
        <v>2010</v>
      </c>
      <c r="C543" s="3" t="s">
        <v>16</v>
      </c>
      <c r="D543" s="4" t="s">
        <v>17</v>
      </c>
      <c r="E543" s="4" t="s">
        <v>18</v>
      </c>
      <c r="F543" s="6" t="s">
        <v>16</v>
      </c>
      <c r="G543" s="3" t="s">
        <v>2011</v>
      </c>
      <c r="H543" s="3" t="s">
        <v>2012</v>
      </c>
      <c r="I543" s="4" t="s">
        <v>2013</v>
      </c>
      <c r="J543" s="1" t="d">
        <v>2024-05-20</v>
      </c>
      <c r="K543" s="9" t="s">
        <v>20</v>
      </c>
      <c r="L543" s="5">
        <v>51.75</v>
      </c>
      <c r="M543" s="1" t="d">
        <v>2024-10-31</v>
      </c>
      <c r="N543" s="10">
        <v>-13.1</v>
      </c>
      <c r="O543" s="9" t="s">
        <v>2014</v>
      </c>
    </row>
    <row r="544" spans="1:15" ht="12" x14ac:dyDescent="0.15">
      <c r="A544" s="1" t="d">
        <v>2021-11-04</v>
      </c>
      <c r="B544" s="3" t="s">
        <v>1985</v>
      </c>
      <c r="C544" s="3" t="s">
        <v>16</v>
      </c>
      <c r="D544" s="4" t="s">
        <v>17</v>
      </c>
      <c r="E544" s="4" t="s">
        <v>18</v>
      </c>
      <c r="F544" s="5">
        <v>9.86</v>
      </c>
      <c r="G544" s="3" t="s">
        <v>330</v>
      </c>
      <c r="H544" s="3" t="s">
        <v>2015</v>
      </c>
      <c r="I544" s="4" t="s">
        <v>2016</v>
      </c>
      <c r="J544" s="1" t="d">
        <v>2021-11-04</v>
      </c>
      <c r="K544" s="9" t="s">
        <v>20</v>
      </c>
      <c r="L544" s="5">
        <v>51.62</v>
      </c>
      <c r="M544" s="1" t="d">
        <v>2021-11-04</v>
      </c>
      <c r="N544" s="5">
        <v>4.47</v>
      </c>
      <c r="O544" s="9" t="s">
        <v>110</v>
      </c>
    </row>
    <row r="545" spans="1:15" ht="36" x14ac:dyDescent="0.15">
      <c r="A545" s="1" t="d">
        <v>2022-06-02</v>
      </c>
      <c r="B545" s="3" t="s">
        <v>2017</v>
      </c>
      <c r="C545" s="3" t="s">
        <v>16</v>
      </c>
      <c r="D545" s="4" t="s">
        <v>17</v>
      </c>
      <c r="E545" s="4" t="s">
        <v>18</v>
      </c>
      <c r="F545" s="5">
        <v>449.69</v>
      </c>
      <c r="G545" s="3" t="s">
        <v>2018</v>
      </c>
      <c r="H545" s="3" t="s">
        <v>2019</v>
      </c>
      <c r="I545" s="4" t="s">
        <v>2020</v>
      </c>
      <c r="J545" s="1" t="d">
        <v>2022-06-02</v>
      </c>
      <c r="K545" s="9" t="s">
        <v>20</v>
      </c>
      <c r="L545" s="5">
        <v>51.53</v>
      </c>
      <c r="M545" s="1" t="d">
        <v>2022-09-08</v>
      </c>
      <c r="N545" s="6" t="s">
        <v>16</v>
      </c>
      <c r="O545" s="9" t="s">
        <v>1174</v>
      </c>
    </row>
    <row r="546" spans="1:15" ht="12" x14ac:dyDescent="0.15">
      <c r="A546" s="1" t="d">
        <v>2022-07-28</v>
      </c>
      <c r="B546" s="3" t="s">
        <v>2021</v>
      </c>
      <c r="C546" s="3" t="s">
        <v>16</v>
      </c>
      <c r="D546" s="4" t="s">
        <v>17</v>
      </c>
      <c r="E546" s="4" t="s">
        <v>18</v>
      </c>
      <c r="F546" s="5">
        <v>25.4</v>
      </c>
      <c r="G546" s="3" t="s">
        <v>2022</v>
      </c>
      <c r="H546" s="3" t="s">
        <v>16</v>
      </c>
      <c r="I546" s="4" t="s">
        <v>2023</v>
      </c>
      <c r="J546" s="1" t="d">
        <v>2022-07-28</v>
      </c>
      <c r="K546" s="9" t="s">
        <v>20</v>
      </c>
      <c r="L546" s="5">
        <v>50.81</v>
      </c>
      <c r="M546" s="1" t="d">
        <v>2022-11-17</v>
      </c>
      <c r="N546" s="7">
        <v>0.215</v>
      </c>
      <c r="O546" s="9" t="s">
        <v>40</v>
      </c>
    </row>
    <row r="547" spans="1:15" ht="12" x14ac:dyDescent="0.15">
      <c r="A547" s="1" t="d">
        <v>2023-03-07</v>
      </c>
      <c r="B547" s="3" t="s">
        <v>2024</v>
      </c>
      <c r="C547" s="3" t="s">
        <v>16</v>
      </c>
      <c r="D547" s="4" t="s">
        <v>17</v>
      </c>
      <c r="E547" s="4" t="s">
        <v>18</v>
      </c>
      <c r="F547" s="5">
        <v>164.34</v>
      </c>
      <c r="G547" s="3" t="s">
        <v>1806</v>
      </c>
      <c r="H547" s="3" t="s">
        <v>16</v>
      </c>
      <c r="I547" s="4" t="s">
        <v>2025</v>
      </c>
      <c r="J547" s="1" t="d">
        <v>2023-03-07</v>
      </c>
      <c r="K547" s="9" t="s">
        <v>20</v>
      </c>
      <c r="L547" s="5">
        <v>50.6</v>
      </c>
      <c r="M547" s="1" t="d">
        <v>2023-04-30</v>
      </c>
      <c r="N547" s="6" t="s">
        <v>16</v>
      </c>
      <c r="O547" s="9" t="s">
        <v>40</v>
      </c>
    </row>
    <row r="548" spans="1:15" ht="24" x14ac:dyDescent="0.15">
      <c r="A548" s="1" t="d">
        <v>2026-02-24</v>
      </c>
      <c r="B548" s="3" t="s">
        <v>2026</v>
      </c>
      <c r="C548" s="3" t="s">
        <v>16</v>
      </c>
      <c r="D548" s="4" t="s">
        <v>17</v>
      </c>
      <c r="E548" s="4" t="s">
        <v>18</v>
      </c>
      <c r="F548" s="5">
        <v>20</v>
      </c>
      <c r="G548" s="3" t="s">
        <v>2027</v>
      </c>
      <c r="H548" s="3" t="s">
        <v>2028</v>
      </c>
      <c r="I548" s="4" t="s">
        <v>2029</v>
      </c>
      <c r="J548" s="1" t="d">
        <v>2026-02-24</v>
      </c>
      <c r="K548" s="9" t="s">
        <v>20</v>
      </c>
      <c r="L548" s="5">
        <v>50.5</v>
      </c>
      <c r="M548" s="1" t="d">
        <v>2026-05-01</v>
      </c>
      <c r="N548" s="6" t="s">
        <v>16</v>
      </c>
      <c r="O548" s="9" t="s">
        <v>364</v>
      </c>
    </row>
    <row r="549" spans="1:15" ht="36" x14ac:dyDescent="0.15">
      <c r="A549" s="1" t="d">
        <v>2025-05-10</v>
      </c>
      <c r="B549" s="3" t="s">
        <v>1842</v>
      </c>
      <c r="C549" s="3" t="s">
        <v>1843</v>
      </c>
      <c r="D549" s="4" t="s">
        <v>17</v>
      </c>
      <c r="E549" s="4" t="s">
        <v>18</v>
      </c>
      <c r="F549" s="5">
        <v>62.19</v>
      </c>
      <c r="G549" s="3" t="s">
        <v>2030</v>
      </c>
      <c r="H549" s="3" t="s">
        <v>16</v>
      </c>
      <c r="I549" s="4" t="s">
        <v>2031</v>
      </c>
      <c r="J549" s="1" t="d">
        <v>2025-05-10</v>
      </c>
      <c r="K549" s="9" t="s">
        <v>20</v>
      </c>
      <c r="L549" s="5">
        <v>50.36</v>
      </c>
      <c r="M549" s="1" t="d">
        <v>2025-08-04</v>
      </c>
      <c r="N549" s="5">
        <v>-9.67</v>
      </c>
      <c r="O549" s="9" t="s">
        <v>50</v>
      </c>
    </row>
    <row r="551" spans="1:15" x14ac:dyDescent="0.15">
      <c r="A551" s="13" t="s">
        <v>2032</v>
      </c>
    </row>
  </sheetData>
  <pageMargins left="0.2" right="0.2" top="0.5" bottom="0.5" header="0.5" footer="0.5"/>
  <pageSetup fitToWidth="0" fitToHeight="0" orientation="landscape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BENCHMARKS</vt:lpstr>
      <vt:lpstr>Screening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2026-09-19T11:55:37Z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reated By">
    <vt:lpwstr>SoftArtisans OfficeWriter for Excel 8.6.2.281 (http://officewriter.softartisans.com)</vt:lpwstr>
  </property>
</Properties>
</file>